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5AD4AC28-1C39-488D-8D7F-B38BC35D4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surment 3rd floor" sheetId="1" r:id="rId1"/>
    <sheet name="Abc " sheetId="2" r:id="rId2"/>
    <sheet name="Total" sheetId="4" r:id="rId3"/>
    <sheet name="Sheet1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75" i="1" l="1"/>
  <c r="G576" i="1"/>
  <c r="G577" i="1"/>
  <c r="G578" i="1"/>
  <c r="G579" i="1"/>
  <c r="G574" i="1"/>
  <c r="G562" i="1"/>
  <c r="G543" i="1"/>
  <c r="G544" i="1"/>
  <c r="G545" i="1"/>
  <c r="G546" i="1"/>
  <c r="G547" i="1"/>
  <c r="G542" i="1"/>
  <c r="G514" i="1"/>
  <c r="G494" i="1"/>
  <c r="G495" i="1"/>
  <c r="G496" i="1"/>
  <c r="G497" i="1"/>
  <c r="G498" i="1"/>
  <c r="G499" i="1"/>
  <c r="G493" i="1"/>
  <c r="G242" i="1"/>
  <c r="G241" i="1"/>
  <c r="G230" i="1"/>
  <c r="G214" i="1"/>
  <c r="G203" i="1"/>
  <c r="G187" i="1"/>
  <c r="G186" i="1"/>
  <c r="G175" i="1"/>
  <c r="G163" i="1"/>
  <c r="G145" i="1"/>
  <c r="G146" i="1"/>
  <c r="G147" i="1"/>
  <c r="G144" i="1"/>
  <c r="G86" i="1"/>
  <c r="G54" i="1"/>
  <c r="G33" i="1"/>
  <c r="G32" i="1"/>
  <c r="G31" i="1"/>
  <c r="G30" i="1"/>
  <c r="G29" i="1"/>
  <c r="G28" i="1"/>
  <c r="G27" i="1"/>
  <c r="G26" i="1"/>
  <c r="G9" i="1"/>
  <c r="G10" i="1"/>
  <c r="G11" i="1"/>
  <c r="G12" i="1"/>
  <c r="G13" i="1"/>
  <c r="G14" i="1"/>
  <c r="G8" i="1"/>
  <c r="K147" i="5"/>
  <c r="G500" i="1" l="1"/>
  <c r="G243" i="1"/>
  <c r="G188" i="1"/>
  <c r="G148" i="1"/>
  <c r="G15" i="1"/>
  <c r="I145" i="5"/>
  <c r="K145" i="5" s="1"/>
  <c r="I143" i="5"/>
  <c r="I141" i="5"/>
  <c r="I139" i="5"/>
  <c r="I137" i="5"/>
  <c r="K137" i="5" s="1"/>
  <c r="I135" i="5"/>
  <c r="K135" i="5" s="1"/>
  <c r="I133" i="5"/>
  <c r="K133" i="5" s="1"/>
  <c r="I131" i="5"/>
  <c r="K131" i="5" s="1"/>
  <c r="I129" i="5"/>
  <c r="K129" i="5" s="1"/>
  <c r="I127" i="5"/>
  <c r="K127" i="5" s="1"/>
  <c r="K125" i="5"/>
  <c r="I123" i="5"/>
  <c r="K123" i="5" s="1"/>
  <c r="I121" i="5"/>
  <c r="K121" i="5" s="1"/>
  <c r="I119" i="5"/>
  <c r="K119" i="5" s="1"/>
  <c r="I117" i="5"/>
  <c r="K117" i="5" s="1"/>
  <c r="I115" i="5"/>
  <c r="K115" i="5" s="1"/>
  <c r="I113" i="5"/>
  <c r="K113" i="5" s="1"/>
  <c r="I111" i="5"/>
  <c r="K111" i="5" s="1"/>
  <c r="I109" i="5"/>
  <c r="K109" i="5" s="1"/>
  <c r="I107" i="5"/>
  <c r="K107" i="5" s="1"/>
  <c r="I105" i="5"/>
  <c r="K105" i="5" s="1"/>
  <c r="I103" i="5"/>
  <c r="K103" i="5" s="1"/>
  <c r="I101" i="5"/>
  <c r="K101" i="5" s="1"/>
  <c r="I99" i="5"/>
  <c r="K99" i="5" s="1"/>
  <c r="I97" i="5"/>
  <c r="K97" i="5" s="1"/>
  <c r="K143" i="5"/>
  <c r="K141" i="5"/>
  <c r="K139" i="5"/>
  <c r="A11" i="5" l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37" i="5" s="1"/>
  <c r="A39" i="5" s="1"/>
  <c r="A41" i="5" s="1"/>
  <c r="A43" i="5" s="1"/>
  <c r="A45" i="5" s="1"/>
  <c r="A47" i="5" s="1"/>
  <c r="A49" i="5" s="1"/>
  <c r="A51" i="5" s="1"/>
  <c r="A53" i="5" s="1"/>
  <c r="A55" i="5" s="1"/>
  <c r="A57" i="5" s="1"/>
  <c r="A59" i="5" s="1"/>
  <c r="A61" i="5" s="1"/>
  <c r="A63" i="5" s="1"/>
  <c r="A65" i="5" s="1"/>
  <c r="A67" i="5" s="1"/>
  <c r="A69" i="5" s="1"/>
  <c r="A71" i="5" s="1"/>
  <c r="A73" i="5" s="1"/>
  <c r="A75" i="5" s="1"/>
  <c r="A77" i="5" s="1"/>
  <c r="A79" i="5" s="1"/>
  <c r="A81" i="5" s="1"/>
  <c r="A83" i="5" s="1"/>
  <c r="A85" i="5" s="1"/>
  <c r="A87" i="5" s="1"/>
  <c r="A89" i="5" s="1"/>
  <c r="A91" i="5" s="1"/>
  <c r="A93" i="5" s="1"/>
  <c r="A95" i="5" s="1"/>
  <c r="A97" i="5" s="1"/>
  <c r="A99" i="5" s="1"/>
  <c r="A101" i="5" s="1"/>
  <c r="A103" i="5" s="1"/>
  <c r="A105" i="5" s="1"/>
  <c r="A107" i="5" s="1"/>
  <c r="A109" i="5" s="1"/>
  <c r="A111" i="5" s="1"/>
  <c r="A113" i="5" s="1"/>
  <c r="A115" i="5" s="1"/>
  <c r="A117" i="5" s="1"/>
  <c r="A119" i="5" s="1"/>
  <c r="A121" i="5" s="1"/>
  <c r="A123" i="5" s="1"/>
  <c r="A125" i="5" s="1"/>
  <c r="A127" i="5" s="1"/>
  <c r="A129" i="5" s="1"/>
  <c r="A131" i="5" s="1"/>
  <c r="A133" i="5" s="1"/>
  <c r="A135" i="5" s="1"/>
  <c r="A137" i="5" s="1"/>
  <c r="A139" i="5" s="1"/>
  <c r="A141" i="5" s="1"/>
  <c r="A143" i="5" s="1"/>
  <c r="A145" i="5" s="1"/>
  <c r="A147" i="5" s="1"/>
  <c r="F558" i="2" l="1"/>
  <c r="F313" i="2" l="1"/>
  <c r="F582" i="2" l="1"/>
  <c r="F588" i="2"/>
  <c r="F587" i="2"/>
  <c r="F586" i="2"/>
  <c r="F589" i="2"/>
  <c r="F584" i="2"/>
  <c r="F579" i="2"/>
  <c r="F577" i="2"/>
  <c r="F585" i="2"/>
  <c r="F583" i="2"/>
  <c r="F581" i="2"/>
  <c r="F580" i="2"/>
  <c r="F578" i="2"/>
  <c r="C587" i="2"/>
  <c r="C588" i="2"/>
  <c r="F590" i="2" l="1"/>
  <c r="F411" i="2"/>
  <c r="F413" i="2"/>
  <c r="F410" i="2"/>
  <c r="F311" i="2"/>
  <c r="F312" i="2"/>
  <c r="F412" i="2"/>
  <c r="C279" i="2"/>
  <c r="C278" i="2"/>
  <c r="A11" i="4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37" i="4" s="1"/>
  <c r="A39" i="4" s="1"/>
  <c r="A41" i="4" s="1"/>
  <c r="A43" i="4" s="1"/>
  <c r="A45" i="4" s="1"/>
  <c r="A47" i="4" s="1"/>
  <c r="A49" i="4" s="1"/>
  <c r="A51" i="4" s="1"/>
  <c r="A57" i="4" s="1"/>
  <c r="D99" i="4" l="1"/>
  <c r="G99" i="4" s="1"/>
  <c r="D95" i="5"/>
  <c r="I95" i="5" s="1"/>
  <c r="K95" i="5" s="1"/>
  <c r="A59" i="4"/>
  <c r="A61" i="4" s="1"/>
  <c r="A63" i="4" s="1"/>
  <c r="A65" i="4" s="1"/>
  <c r="A67" i="4" s="1"/>
  <c r="A69" i="4" s="1"/>
  <c r="A71" i="4" s="1"/>
  <c r="A73" i="4" s="1"/>
  <c r="A75" i="4" s="1"/>
  <c r="A77" i="4" s="1"/>
  <c r="A79" i="4" s="1"/>
  <c r="A81" i="4" s="1"/>
  <c r="A83" i="4" s="1"/>
  <c r="A85" i="4" s="1"/>
  <c r="A87" i="4" s="1"/>
  <c r="A89" i="4" s="1"/>
  <c r="A91" i="4" s="1"/>
  <c r="A93" i="4" s="1"/>
  <c r="A95" i="4" s="1"/>
  <c r="A97" i="4" s="1"/>
  <c r="A99" i="4" s="1"/>
  <c r="A19" i="2" l="1"/>
  <c r="A44" i="2" s="1"/>
  <c r="D5" i="2" s="1"/>
  <c r="D17" i="2" s="1"/>
  <c r="D30" i="2" s="1"/>
  <c r="D43" i="2" s="1"/>
  <c r="A56" i="2" s="1"/>
  <c r="A82" i="2" s="1"/>
  <c r="A122" i="2" s="1"/>
  <c r="A136" i="2" s="1"/>
  <c r="D111" i="2" s="1"/>
  <c r="A166" i="2" s="1"/>
  <c r="D166" i="2" s="1"/>
  <c r="D190" i="2" s="1"/>
  <c r="A221" i="2" s="1"/>
  <c r="D221" i="2" s="1"/>
  <c r="A281" i="2" s="1"/>
  <c r="A294" i="2" s="1"/>
  <c r="A307" i="2" s="1"/>
  <c r="A320" i="2" s="1"/>
  <c r="A322" i="2" s="1"/>
  <c r="A325" i="2" s="1"/>
  <c r="D281" i="2" l="1"/>
  <c r="D284" i="2" l="1"/>
  <c r="D316" i="2" s="1"/>
  <c r="D329" i="2" s="1"/>
  <c r="D331" i="2" s="1"/>
  <c r="A336" i="2" s="1"/>
  <c r="A349" i="2" s="1"/>
  <c r="A362" i="2" s="1"/>
  <c r="A376" i="2" s="1"/>
  <c r="A380" i="2" s="1"/>
  <c r="D336" i="2" s="1"/>
  <c r="D370" i="2" s="1"/>
  <c r="D380" i="2" s="1"/>
  <c r="A393" i="2" s="1"/>
  <c r="A403" i="2" s="1"/>
  <c r="D416" i="2" s="1"/>
  <c r="A507" i="2" s="1"/>
  <c r="A564" i="2" s="1"/>
  <c r="A591" i="2" s="1"/>
  <c r="D564" i="2" s="1"/>
  <c r="D577" i="2" s="1"/>
  <c r="C53" i="2"/>
  <c r="C420" i="2"/>
  <c r="C421" i="2"/>
  <c r="C285" i="2"/>
  <c r="C298" i="2"/>
  <c r="F384" i="2"/>
  <c r="C465" i="2"/>
  <c r="C572" i="2"/>
  <c r="C599" i="2"/>
  <c r="F568" i="2"/>
  <c r="C366" i="2"/>
  <c r="C295" i="2" l="1"/>
  <c r="F530" i="2" l="1"/>
  <c r="C540" i="2" l="1"/>
  <c r="F536" i="2"/>
  <c r="F522" i="2"/>
  <c r="F514" i="2"/>
  <c r="C559" i="2"/>
  <c r="C515" i="2"/>
  <c r="C550" i="2"/>
  <c r="C531" i="2"/>
  <c r="C522" i="2"/>
  <c r="C508" i="2"/>
  <c r="C586" i="2" l="1"/>
  <c r="F310" i="2"/>
  <c r="C147" i="2"/>
  <c r="C133" i="2"/>
  <c r="C210" i="2" l="1"/>
  <c r="F502" i="2"/>
  <c r="F557" i="2"/>
  <c r="F409" i="2"/>
  <c r="F155" i="2"/>
  <c r="F548" i="2" l="1"/>
  <c r="F492" i="2"/>
  <c r="F399" i="2"/>
  <c r="F547" i="2"/>
  <c r="F491" i="2"/>
  <c r="F398" i="2"/>
  <c r="F499" i="2" l="1"/>
  <c r="F407" i="2"/>
  <c r="F555" i="2"/>
  <c r="F497" i="2"/>
  <c r="F500" i="2"/>
  <c r="F404" i="2"/>
  <c r="F405" i="2"/>
  <c r="F553" i="2"/>
  <c r="F554" i="2"/>
  <c r="F406" i="2"/>
  <c r="F498" i="2"/>
  <c r="F552" i="2"/>
  <c r="F308" i="2"/>
  <c r="C447" i="2"/>
  <c r="F306" i="2"/>
  <c r="F300" i="2"/>
  <c r="F266" i="2"/>
  <c r="F264" i="2"/>
  <c r="F268" i="2"/>
  <c r="C268" i="2"/>
  <c r="F305" i="2"/>
  <c r="F267" i="2"/>
  <c r="C267" i="2"/>
  <c r="F484" i="2"/>
  <c r="C209" i="2"/>
  <c r="F211" i="2"/>
  <c r="F482" i="2"/>
  <c r="C391" i="2"/>
  <c r="C443" i="2"/>
  <c r="F472" i="2"/>
  <c r="F258" i="2"/>
  <c r="F533" i="2"/>
  <c r="F298" i="2"/>
  <c r="F473" i="2"/>
  <c r="C205" i="2"/>
  <c r="F470" i="2"/>
  <c r="C389" i="2"/>
  <c r="C548" i="2"/>
  <c r="F331" i="2"/>
  <c r="F329" i="2"/>
  <c r="D65" i="4" l="1"/>
  <c r="G65" i="4" s="1"/>
  <c r="D61" i="5"/>
  <c r="I61" i="5" s="1"/>
  <c r="K61" i="5" s="1"/>
  <c r="D67" i="4"/>
  <c r="G67" i="4" s="1"/>
  <c r="D63" i="5"/>
  <c r="I63" i="5" s="1"/>
  <c r="K63" i="5" s="1"/>
  <c r="F276" i="2"/>
  <c r="C276" i="2"/>
  <c r="F273" i="2"/>
  <c r="C273" i="2"/>
  <c r="F275" i="2"/>
  <c r="C275" i="2"/>
  <c r="F274" i="2"/>
  <c r="C274" i="2"/>
  <c r="F534" i="2"/>
  <c r="F474" i="2"/>
  <c r="F209" i="2"/>
  <c r="F185" i="2"/>
  <c r="F543" i="2"/>
  <c r="F486" i="2"/>
  <c r="F463" i="2"/>
  <c r="C201" i="2"/>
  <c r="F205" i="2"/>
  <c r="C197" i="2"/>
  <c r="C11" i="2"/>
  <c r="C505" i="2"/>
  <c r="C193" i="2"/>
  <c r="C496" i="2"/>
  <c r="C484" i="2"/>
  <c r="C185" i="2"/>
  <c r="F348" i="2"/>
  <c r="F289" i="2" l="1"/>
  <c r="C419" i="2"/>
  <c r="C461" i="2"/>
  <c r="C181" i="2"/>
  <c r="F495" i="2"/>
  <c r="F402" i="2"/>
  <c r="F546" i="2"/>
  <c r="F490" i="2"/>
  <c r="F397" i="2"/>
  <c r="F545" i="2"/>
  <c r="F489" i="2"/>
  <c r="F396" i="2"/>
  <c r="F544" i="2"/>
  <c r="F488" i="2"/>
  <c r="F395" i="2"/>
  <c r="F487" i="2"/>
  <c r="F394" i="2"/>
  <c r="C448" i="2"/>
  <c r="C326" i="2"/>
  <c r="C322" i="2"/>
  <c r="C359" i="2"/>
  <c r="C346" i="2"/>
  <c r="F326" i="2"/>
  <c r="C612" i="2"/>
  <c r="C585" i="2"/>
  <c r="F367" i="2"/>
  <c r="F377" i="2"/>
  <c r="C400" i="2"/>
  <c r="F483" i="2"/>
  <c r="F540" i="2"/>
  <c r="F481" i="2"/>
  <c r="C373" i="2"/>
  <c r="F574" i="2"/>
  <c r="C611" i="2"/>
  <c r="C584" i="2"/>
  <c r="F476" i="2"/>
  <c r="F390" i="2"/>
  <c r="C304" i="2"/>
  <c r="C291" i="2"/>
  <c r="C444" i="2"/>
  <c r="C358" i="2"/>
  <c r="C345" i="2"/>
  <c r="F325" i="2"/>
  <c r="C610" i="2"/>
  <c r="C583" i="2"/>
  <c r="F109" i="2"/>
  <c r="F52" i="2"/>
  <c r="F364" i="2"/>
  <c r="F363" i="2"/>
  <c r="F471" i="2"/>
  <c r="F532" i="2"/>
  <c r="F469" i="2"/>
  <c r="C372" i="2"/>
  <c r="F573" i="2"/>
  <c r="C609" i="2"/>
  <c r="C582" i="2"/>
  <c r="F467" i="2"/>
  <c r="F466" i="2"/>
  <c r="F389" i="2"/>
  <c r="C303" i="2"/>
  <c r="C290" i="2"/>
  <c r="C441" i="2"/>
  <c r="C357" i="2"/>
  <c r="C344" i="2"/>
  <c r="F324" i="2"/>
  <c r="C608" i="2"/>
  <c r="C581" i="2"/>
  <c r="F361" i="2"/>
  <c r="F376" i="2"/>
  <c r="C399" i="2"/>
  <c r="F526" i="2"/>
  <c r="F460" i="2"/>
  <c r="C371" i="2"/>
  <c r="F572" i="2"/>
  <c r="C607" i="2"/>
  <c r="C580" i="2"/>
  <c r="F455" i="2"/>
  <c r="F388" i="2"/>
  <c r="C302" i="2"/>
  <c r="C289" i="2"/>
  <c r="C438" i="2"/>
  <c r="C356" i="2"/>
  <c r="C343" i="2"/>
  <c r="F323" i="2"/>
  <c r="C606" i="2"/>
  <c r="C579" i="2"/>
  <c r="F358" i="2"/>
  <c r="F375" i="2"/>
  <c r="C398" i="2"/>
  <c r="F518" i="2"/>
  <c r="C504" i="2"/>
  <c r="C370" i="2"/>
  <c r="F571" i="2"/>
  <c r="C605" i="2"/>
  <c r="C578" i="2"/>
  <c r="C499" i="2"/>
  <c r="F387" i="2"/>
  <c r="C301" i="2"/>
  <c r="C288" i="2"/>
  <c r="C435" i="2"/>
  <c r="C434" i="2"/>
  <c r="C355" i="2"/>
  <c r="C342" i="2"/>
  <c r="F322" i="2"/>
  <c r="C604" i="2"/>
  <c r="C577" i="2"/>
  <c r="F355" i="2"/>
  <c r="F374" i="2"/>
  <c r="C397" i="2"/>
  <c r="F510" i="2"/>
  <c r="C493" i="2"/>
  <c r="C369" i="2"/>
  <c r="F570" i="2"/>
  <c r="C603" i="2"/>
  <c r="C576" i="2"/>
  <c r="C488" i="2"/>
  <c r="F386" i="2"/>
  <c r="C300" i="2"/>
  <c r="C287" i="2"/>
  <c r="C431" i="2"/>
  <c r="C430" i="2"/>
  <c r="C341" i="2"/>
  <c r="F321" i="2"/>
  <c r="C602" i="2"/>
  <c r="C575" i="2"/>
  <c r="F352" i="2"/>
  <c r="F373" i="2"/>
  <c r="C396" i="2"/>
  <c r="C554" i="2"/>
  <c r="C481" i="2"/>
  <c r="C368" i="2"/>
  <c r="F569" i="2"/>
  <c r="C601" i="2"/>
  <c r="C574" i="2"/>
  <c r="C476" i="2"/>
  <c r="F385" i="2"/>
  <c r="C299" i="2"/>
  <c r="C286" i="2"/>
  <c r="C426" i="2"/>
  <c r="C425" i="2"/>
  <c r="C367" i="2"/>
  <c r="C353" i="2"/>
  <c r="C340" i="2"/>
  <c r="F320" i="2"/>
  <c r="C600" i="2"/>
  <c r="C573" i="2"/>
  <c r="F349" i="2"/>
  <c r="C395" i="2"/>
  <c r="C544" i="2"/>
  <c r="C470" i="2"/>
  <c r="C352" i="2"/>
  <c r="C339" i="2"/>
  <c r="F319" i="2"/>
  <c r="C598" i="2"/>
  <c r="C571" i="2"/>
  <c r="F345" i="2"/>
  <c r="F371" i="2"/>
  <c r="C394" i="2"/>
  <c r="C535" i="2"/>
  <c r="C458" i="2"/>
  <c r="C365" i="2"/>
  <c r="F567" i="2"/>
  <c r="C597" i="2"/>
  <c r="C570" i="2"/>
  <c r="C453" i="2"/>
  <c r="F383" i="2"/>
  <c r="C297" i="2"/>
  <c r="C284" i="2"/>
  <c r="C416" i="2"/>
  <c r="C351" i="2"/>
  <c r="C338" i="2"/>
  <c r="F318" i="2"/>
  <c r="C596" i="2"/>
  <c r="C569" i="2"/>
  <c r="F343" i="2"/>
  <c r="F370" i="2"/>
  <c r="C393" i="2"/>
  <c r="C526" i="2"/>
  <c r="F444" i="2"/>
  <c r="C364" i="2"/>
  <c r="F566" i="2"/>
  <c r="C595" i="2"/>
  <c r="C568" i="2"/>
  <c r="F439" i="2"/>
  <c r="F382" i="2"/>
  <c r="C296" i="2"/>
  <c r="C283" i="2"/>
  <c r="C412" i="2"/>
  <c r="C411" i="2"/>
  <c r="C350" i="2"/>
  <c r="C337" i="2"/>
  <c r="F317" i="2"/>
  <c r="C594" i="2"/>
  <c r="C567" i="2"/>
  <c r="C377" i="2"/>
  <c r="F341" i="2"/>
  <c r="C519" i="2"/>
  <c r="F433" i="2"/>
  <c r="C363" i="2"/>
  <c r="F565" i="2"/>
  <c r="C593" i="2"/>
  <c r="C566" i="2"/>
  <c r="F428" i="2"/>
  <c r="F381" i="2"/>
  <c r="C282" i="2"/>
  <c r="C408" i="2"/>
  <c r="C407" i="2"/>
  <c r="C349" i="2"/>
  <c r="C336" i="2"/>
  <c r="F316" i="2"/>
  <c r="C592" i="2"/>
  <c r="C565" i="2"/>
  <c r="C376" i="2"/>
  <c r="F338" i="2"/>
  <c r="C512" i="2"/>
  <c r="F422" i="2"/>
  <c r="C362" i="2"/>
  <c r="F564" i="2"/>
  <c r="C591" i="2"/>
  <c r="C564" i="2"/>
  <c r="F417" i="2"/>
  <c r="F380" i="2"/>
  <c r="C294" i="2"/>
  <c r="C281" i="2"/>
  <c r="C404" i="2"/>
  <c r="C403" i="2"/>
  <c r="B69" i="1"/>
  <c r="D51" i="4" l="1"/>
  <c r="G51" i="4" s="1"/>
  <c r="D51" i="5"/>
  <c r="I51" i="5" s="1"/>
  <c r="K51" i="5" s="1"/>
  <c r="C212" i="2"/>
  <c r="C354" i="2"/>
  <c r="C360" i="2" s="1"/>
  <c r="C244" i="2"/>
  <c r="F244" i="2"/>
  <c r="C378" i="2"/>
  <c r="F575" i="2"/>
  <c r="C401" i="2"/>
  <c r="C589" i="2"/>
  <c r="C613" i="2"/>
  <c r="F391" i="2"/>
  <c r="C305" i="2"/>
  <c r="C292" i="2"/>
  <c r="C374" i="2"/>
  <c r="F327" i="2"/>
  <c r="C347" i="2"/>
  <c r="F174" i="2"/>
  <c r="F346" i="2"/>
  <c r="F239" i="2"/>
  <c r="C204" i="2"/>
  <c r="F149" i="2"/>
  <c r="C311" i="2"/>
  <c r="C237" i="2"/>
  <c r="F65" i="2"/>
  <c r="C9" i="2"/>
  <c r="C28" i="2"/>
  <c r="C422" i="2"/>
  <c r="F238" i="2"/>
  <c r="C468" i="2"/>
  <c r="C467" i="2"/>
  <c r="C239" i="2"/>
  <c r="C469" i="2"/>
  <c r="C543" i="2"/>
  <c r="C238" i="2"/>
  <c r="C538" i="2"/>
  <c r="C463" i="2"/>
  <c r="C539" i="2"/>
  <c r="F198" i="2"/>
  <c r="C10" i="2"/>
  <c r="C464" i="2"/>
  <c r="C466" i="2"/>
  <c r="F237" i="2"/>
  <c r="C541" i="2"/>
  <c r="C542" i="2"/>
  <c r="B186" i="1"/>
  <c r="B217" i="1" s="1"/>
  <c r="B263" i="1" s="1"/>
  <c r="B266" i="1" s="1"/>
  <c r="B269" i="1" s="1"/>
  <c r="B396" i="1" s="1"/>
  <c r="B404" i="1" s="1"/>
  <c r="B493" i="1" s="1"/>
  <c r="B605" i="1" s="1"/>
  <c r="B607" i="1" s="1"/>
  <c r="F187" i="2"/>
  <c r="F106" i="2"/>
  <c r="C437" i="2"/>
  <c r="C387" i="2"/>
  <c r="F181" i="2"/>
  <c r="F126" i="2"/>
  <c r="C460" i="2"/>
  <c r="C418" i="2"/>
  <c r="F234" i="2"/>
  <c r="F447" i="2"/>
  <c r="C177" i="2"/>
  <c r="F445" i="2"/>
  <c r="F195" i="2"/>
  <c r="C382" i="2"/>
  <c r="F434" i="2"/>
  <c r="F193" i="2"/>
  <c r="C381" i="2"/>
  <c r="F169" i="2"/>
  <c r="F423" i="2"/>
  <c r="F509" i="2"/>
  <c r="C433" i="2"/>
  <c r="F354" i="2"/>
  <c r="F253" i="2"/>
  <c r="F523" i="2"/>
  <c r="F403" i="2"/>
  <c r="F551" i="2"/>
  <c r="F172" i="2"/>
  <c r="C316" i="2"/>
  <c r="F531" i="2"/>
  <c r="C390" i="2"/>
  <c r="C380" i="2"/>
  <c r="C308" i="2"/>
  <c r="C231" i="2"/>
  <c r="F443" i="2"/>
  <c r="F446" i="2"/>
  <c r="C423" i="2"/>
  <c r="F251" i="2"/>
  <c r="F517" i="2"/>
  <c r="F357" i="2"/>
  <c r="F519" i="2"/>
  <c r="F190" i="2"/>
  <c r="C229" i="2"/>
  <c r="F441" i="2"/>
  <c r="C245" i="2"/>
  <c r="C490" i="2"/>
  <c r="C500" i="2"/>
  <c r="F515" i="2"/>
  <c r="F191" i="2"/>
  <c r="F223" i="2"/>
  <c r="C511" i="2"/>
  <c r="F431" i="2"/>
  <c r="F231" i="2"/>
  <c r="C525" i="2"/>
  <c r="C414" i="2"/>
  <c r="C527" i="2"/>
  <c r="F232" i="2"/>
  <c r="C546" i="2"/>
  <c r="C243" i="2"/>
  <c r="C480" i="2"/>
  <c r="C251" i="2"/>
  <c r="C503" i="2"/>
  <c r="F451" i="2"/>
  <c r="F493" i="2"/>
  <c r="F401" i="2"/>
  <c r="C225" i="2"/>
  <c r="C310" i="2"/>
  <c r="C454" i="2"/>
  <c r="F233" i="2"/>
  <c r="C532" i="2"/>
  <c r="C236" i="2"/>
  <c r="C492" i="2"/>
  <c r="C253" i="2"/>
  <c r="F457" i="2"/>
  <c r="F183" i="2"/>
  <c r="C256" i="2"/>
  <c r="C257" i="2"/>
  <c r="F302" i="2"/>
  <c r="F166" i="2"/>
  <c r="F440" i="2"/>
  <c r="C523" i="2"/>
  <c r="C241" i="2"/>
  <c r="F245" i="2"/>
  <c r="F167" i="2"/>
  <c r="C406" i="2"/>
  <c r="F337" i="2"/>
  <c r="F426" i="2"/>
  <c r="F227" i="2"/>
  <c r="C518" i="2"/>
  <c r="C410" i="2"/>
  <c r="C521" i="2"/>
  <c r="F194" i="2"/>
  <c r="C384" i="2"/>
  <c r="F240" i="2"/>
  <c r="F176" i="2"/>
  <c r="F242" i="2"/>
  <c r="C247" i="2"/>
  <c r="C315" i="2"/>
  <c r="F521" i="2"/>
  <c r="F206" i="2"/>
  <c r="C255" i="2"/>
  <c r="F459" i="2"/>
  <c r="F261" i="2"/>
  <c r="F539" i="2"/>
  <c r="F265" i="2"/>
  <c r="F400" i="2"/>
  <c r="F549" i="2"/>
  <c r="C528" i="2"/>
  <c r="F287" i="2"/>
  <c r="F508" i="2"/>
  <c r="F516" i="2"/>
  <c r="F453" i="2"/>
  <c r="F222" i="2"/>
  <c r="C230" i="2"/>
  <c r="F122" i="2"/>
  <c r="F286" i="2"/>
  <c r="C436" i="2"/>
  <c r="C507" i="2"/>
  <c r="F339" i="2"/>
  <c r="F225" i="2"/>
  <c r="C317" i="2"/>
  <c r="F477" i="2"/>
  <c r="F259" i="2"/>
  <c r="F366" i="2"/>
  <c r="F263" i="2"/>
  <c r="C265" i="2"/>
  <c r="F307" i="2"/>
  <c r="F550" i="2"/>
  <c r="F408" i="2"/>
  <c r="F421" i="2"/>
  <c r="C223" i="2"/>
  <c r="C222" i="2"/>
  <c r="F418" i="2"/>
  <c r="F221" i="2"/>
  <c r="F429" i="2"/>
  <c r="C226" i="2"/>
  <c r="C124" i="2"/>
  <c r="C309" i="2"/>
  <c r="F230" i="2"/>
  <c r="F442" i="2"/>
  <c r="C478" i="2"/>
  <c r="C483" i="2"/>
  <c r="F293" i="2"/>
  <c r="F359" i="2"/>
  <c r="F458" i="2"/>
  <c r="F462" i="2"/>
  <c r="F297" i="2"/>
  <c r="F186" i="2"/>
  <c r="F365" i="2"/>
  <c r="F537" i="2"/>
  <c r="C261" i="2"/>
  <c r="F480" i="2"/>
  <c r="C169" i="2"/>
  <c r="C509" i="2"/>
  <c r="F427" i="2"/>
  <c r="C516" i="2"/>
  <c r="F342" i="2"/>
  <c r="C246" i="2"/>
  <c r="C497" i="2"/>
  <c r="C258" i="2"/>
  <c r="F262" i="2"/>
  <c r="F542" i="2"/>
  <c r="F501" i="2"/>
  <c r="C123" i="2"/>
  <c r="C514" i="2"/>
  <c r="F192" i="2"/>
  <c r="F430" i="2"/>
  <c r="F229" i="2"/>
  <c r="F448" i="2"/>
  <c r="C125" i="2"/>
  <c r="C456" i="2"/>
  <c r="C533" i="2"/>
  <c r="C235" i="2"/>
  <c r="C457" i="2"/>
  <c r="F236" i="2"/>
  <c r="F347" i="2"/>
  <c r="C189" i="2"/>
  <c r="F178" i="2"/>
  <c r="F353" i="2"/>
  <c r="F248" i="2"/>
  <c r="F535" i="2"/>
  <c r="F210" i="2"/>
  <c r="F478" i="2"/>
  <c r="F538" i="2"/>
  <c r="C446" i="2"/>
  <c r="F154" i="2"/>
  <c r="C266" i="2"/>
  <c r="F494" i="2"/>
  <c r="C307" i="2"/>
  <c r="F416" i="2"/>
  <c r="F114" i="2"/>
  <c r="F284" i="2"/>
  <c r="C409" i="2"/>
  <c r="F226" i="2"/>
  <c r="C227" i="2"/>
  <c r="F432" i="2"/>
  <c r="F336" i="2"/>
  <c r="C221" i="2"/>
  <c r="F419" i="2"/>
  <c r="F420" i="2"/>
  <c r="F424" i="2"/>
  <c r="F425" i="2"/>
  <c r="C224" i="2"/>
  <c r="C513" i="2"/>
  <c r="F435" i="2"/>
  <c r="F118" i="2"/>
  <c r="C173" i="2"/>
  <c r="F436" i="2"/>
  <c r="C520" i="2"/>
  <c r="F285" i="2"/>
  <c r="C413" i="2"/>
  <c r="F171" i="2"/>
  <c r="C415" i="2"/>
  <c r="C452" i="2"/>
  <c r="C530" i="2"/>
  <c r="F196" i="2"/>
  <c r="F173" i="2"/>
  <c r="F197" i="2"/>
  <c r="C462" i="2"/>
  <c r="C556" i="2"/>
  <c r="C313" i="2"/>
  <c r="C489" i="2"/>
  <c r="C560" i="2"/>
  <c r="C494" i="2"/>
  <c r="F454" i="2"/>
  <c r="F182" i="2"/>
  <c r="C262" i="2"/>
  <c r="C122" i="2"/>
  <c r="C405" i="2"/>
  <c r="C510" i="2"/>
  <c r="F224" i="2"/>
  <c r="F168" i="2"/>
  <c r="C517" i="2"/>
  <c r="C228" i="2"/>
  <c r="F228" i="2"/>
  <c r="F170" i="2"/>
  <c r="C524" i="2"/>
  <c r="C232" i="2"/>
  <c r="F344" i="2"/>
  <c r="F235" i="2"/>
  <c r="C534" i="2"/>
  <c r="C383" i="2"/>
  <c r="F288" i="2"/>
  <c r="C485" i="2"/>
  <c r="F292" i="2"/>
  <c r="C429" i="2"/>
  <c r="F511" i="2"/>
  <c r="F513" i="2"/>
  <c r="F204" i="2"/>
  <c r="F520" i="2"/>
  <c r="C259" i="2"/>
  <c r="F479" i="2"/>
  <c r="F304" i="2"/>
  <c r="F340" i="2"/>
  <c r="F437" i="2"/>
  <c r="F438" i="2"/>
  <c r="C417" i="2"/>
  <c r="C233" i="2"/>
  <c r="C455" i="2"/>
  <c r="C234" i="2"/>
  <c r="C459" i="2"/>
  <c r="F175" i="2"/>
  <c r="F199" i="2"/>
  <c r="C545" i="2"/>
  <c r="C312" i="2"/>
  <c r="C477" i="2"/>
  <c r="F241" i="2"/>
  <c r="C551" i="2"/>
  <c r="C552" i="2"/>
  <c r="F177" i="2"/>
  <c r="C482" i="2"/>
  <c r="C428" i="2"/>
  <c r="F351" i="2"/>
  <c r="C555" i="2"/>
  <c r="F247" i="2"/>
  <c r="C495" i="2"/>
  <c r="C314" i="2"/>
  <c r="F456" i="2"/>
  <c r="F256" i="2"/>
  <c r="C471" i="2"/>
  <c r="C472" i="2"/>
  <c r="F130" i="2"/>
  <c r="F290" i="2"/>
  <c r="C427" i="2"/>
  <c r="C475" i="2"/>
  <c r="F350" i="2"/>
  <c r="C242" i="2"/>
  <c r="C479" i="2"/>
  <c r="F243" i="2"/>
  <c r="C553" i="2"/>
  <c r="F201" i="2"/>
  <c r="C385" i="2"/>
  <c r="C491" i="2"/>
  <c r="F294" i="2"/>
  <c r="F250" i="2"/>
  <c r="F254" i="2"/>
  <c r="F461" i="2"/>
  <c r="F146" i="2"/>
  <c r="F465" i="2"/>
  <c r="F529" i="2"/>
  <c r="F208" i="2"/>
  <c r="F475" i="2"/>
  <c r="C260" i="2"/>
  <c r="F485" i="2"/>
  <c r="C211" i="2"/>
  <c r="F301" i="2"/>
  <c r="F309" i="2"/>
  <c r="C536" i="2"/>
  <c r="C537" i="2"/>
  <c r="C240" i="2"/>
  <c r="C473" i="2"/>
  <c r="F291" i="2"/>
  <c r="C424" i="2"/>
  <c r="C549" i="2"/>
  <c r="F200" i="2"/>
  <c r="F134" i="2"/>
  <c r="C487" i="2"/>
  <c r="C558" i="2"/>
  <c r="F202" i="2"/>
  <c r="C386" i="2"/>
  <c r="F138" i="2"/>
  <c r="C248" i="2"/>
  <c r="C498" i="2"/>
  <c r="F356" i="2"/>
  <c r="C249" i="2"/>
  <c r="C250" i="2"/>
  <c r="C502" i="2"/>
  <c r="F452" i="2"/>
  <c r="F252" i="2"/>
  <c r="C439" i="2"/>
  <c r="F255" i="2"/>
  <c r="F525" i="2"/>
  <c r="C440" i="2"/>
  <c r="F360" i="2"/>
  <c r="F464" i="2"/>
  <c r="F528" i="2"/>
  <c r="F257" i="2"/>
  <c r="F468" i="2"/>
  <c r="F150" i="2"/>
  <c r="C445" i="2"/>
  <c r="F260" i="2"/>
  <c r="F541" i="2"/>
  <c r="F303" i="2"/>
  <c r="F184" i="2"/>
  <c r="F362" i="2"/>
  <c r="F299" i="2"/>
  <c r="F156" i="2"/>
  <c r="F157" i="2"/>
  <c r="C263" i="2"/>
  <c r="C264" i="2"/>
  <c r="F496" i="2"/>
  <c r="F556" i="2"/>
  <c r="C432" i="2"/>
  <c r="F203" i="2"/>
  <c r="F246" i="2"/>
  <c r="F179" i="2"/>
  <c r="F512" i="2"/>
  <c r="F295" i="2"/>
  <c r="F527" i="2"/>
  <c r="C252" i="2"/>
  <c r="C388" i="2"/>
  <c r="C442" i="2"/>
  <c r="F180" i="2"/>
  <c r="F142" i="2"/>
  <c r="C254" i="2"/>
  <c r="F524" i="2"/>
  <c r="F207" i="2"/>
  <c r="F296" i="2"/>
  <c r="D83" i="4" l="1"/>
  <c r="G83" i="4" s="1"/>
  <c r="D79" i="5"/>
  <c r="I79" i="5" s="1"/>
  <c r="K79" i="5" s="1"/>
  <c r="D95" i="4"/>
  <c r="G95" i="4" s="1"/>
  <c r="D91" i="5"/>
  <c r="I91" i="5" s="1"/>
  <c r="K91" i="5" s="1"/>
  <c r="D93" i="4"/>
  <c r="G93" i="4" s="1"/>
  <c r="D89" i="5"/>
  <c r="I89" i="5" s="1"/>
  <c r="K89" i="5" s="1"/>
  <c r="D85" i="4"/>
  <c r="G85" i="4" s="1"/>
  <c r="D81" i="5"/>
  <c r="I81" i="5" s="1"/>
  <c r="K81" i="5" s="1"/>
  <c r="D97" i="4"/>
  <c r="G97" i="4" s="1"/>
  <c r="D93" i="5"/>
  <c r="I93" i="5" s="1"/>
  <c r="K93" i="5" s="1"/>
  <c r="D75" i="4"/>
  <c r="G75" i="4" s="1"/>
  <c r="D71" i="5"/>
  <c r="I71" i="5" s="1"/>
  <c r="K71" i="5" s="1"/>
  <c r="D69" i="4"/>
  <c r="G69" i="4" s="1"/>
  <c r="D65" i="5"/>
  <c r="I65" i="5" s="1"/>
  <c r="K65" i="5" s="1"/>
  <c r="D63" i="4"/>
  <c r="G63" i="4" s="1"/>
  <c r="D59" i="5"/>
  <c r="I59" i="5" s="1"/>
  <c r="K59" i="5" s="1"/>
  <c r="D71" i="4"/>
  <c r="G71" i="4" s="1"/>
  <c r="D67" i="5"/>
  <c r="I67" i="5" s="1"/>
  <c r="K67" i="5" s="1"/>
  <c r="D73" i="4"/>
  <c r="G73" i="4" s="1"/>
  <c r="D69" i="5"/>
  <c r="I69" i="5" s="1"/>
  <c r="K69" i="5" s="1"/>
  <c r="D43" i="4"/>
  <c r="G43" i="4" s="1"/>
  <c r="D43" i="5"/>
  <c r="I43" i="5" s="1"/>
  <c r="K43" i="5" s="1"/>
  <c r="D45" i="4"/>
  <c r="G45" i="4" s="1"/>
  <c r="D45" i="5"/>
  <c r="I45" i="5" s="1"/>
  <c r="K45" i="5" s="1"/>
  <c r="C449" i="2"/>
  <c r="F393" i="2" s="1"/>
  <c r="F414" i="2" s="1"/>
  <c r="D83" i="5" s="1"/>
  <c r="I83" i="5" s="1"/>
  <c r="K83" i="5" s="1"/>
  <c r="F314" i="2"/>
  <c r="F63" i="2"/>
  <c r="F271" i="2"/>
  <c r="C271" i="2"/>
  <c r="F277" i="2"/>
  <c r="C277" i="2"/>
  <c r="F269" i="2"/>
  <c r="C269" i="2"/>
  <c r="F272" i="2"/>
  <c r="C272" i="2"/>
  <c r="F270" i="2"/>
  <c r="C270" i="2"/>
  <c r="F449" i="2"/>
  <c r="C450" i="2" s="1"/>
  <c r="C392" i="2"/>
  <c r="F368" i="2"/>
  <c r="C318" i="2"/>
  <c r="F212" i="2"/>
  <c r="F188" i="2"/>
  <c r="F9" i="2"/>
  <c r="F281" i="2"/>
  <c r="C64" i="2"/>
  <c r="C145" i="2"/>
  <c r="C131" i="2"/>
  <c r="C325" i="2"/>
  <c r="C327" i="2" s="1"/>
  <c r="C320" i="2"/>
  <c r="F108" i="2"/>
  <c r="F39" i="2"/>
  <c r="C119" i="2"/>
  <c r="F53" i="2"/>
  <c r="F107" i="2"/>
  <c r="F26" i="2"/>
  <c r="C202" i="2"/>
  <c r="F147" i="2"/>
  <c r="C146" i="2"/>
  <c r="C132" i="2"/>
  <c r="F105" i="2"/>
  <c r="C39" i="2"/>
  <c r="C117" i="2"/>
  <c r="F27" i="2"/>
  <c r="C114" i="2"/>
  <c r="C41" i="2"/>
  <c r="C118" i="2"/>
  <c r="F40" i="2"/>
  <c r="C38" i="2"/>
  <c r="C207" i="2"/>
  <c r="F152" i="2"/>
  <c r="C206" i="2"/>
  <c r="F151" i="2"/>
  <c r="C115" i="2"/>
  <c r="C54" i="2"/>
  <c r="C208" i="2"/>
  <c r="F153" i="2"/>
  <c r="C203" i="2"/>
  <c r="F148" i="2"/>
  <c r="C40" i="2"/>
  <c r="C16" i="2"/>
  <c r="C15" i="2"/>
  <c r="C116" i="2"/>
  <c r="F14" i="2"/>
  <c r="C13" i="2"/>
  <c r="C144" i="2"/>
  <c r="C130" i="2"/>
  <c r="C192" i="2"/>
  <c r="F137" i="2"/>
  <c r="C191" i="2"/>
  <c r="F136" i="2"/>
  <c r="F84" i="2"/>
  <c r="F23" i="2"/>
  <c r="F92" i="2"/>
  <c r="F24" i="2"/>
  <c r="F81" i="2"/>
  <c r="C33" i="2"/>
  <c r="C34" i="2"/>
  <c r="F98" i="2"/>
  <c r="C52" i="2"/>
  <c r="C200" i="2"/>
  <c r="F145" i="2"/>
  <c r="C36" i="2"/>
  <c r="F97" i="2"/>
  <c r="C37" i="2"/>
  <c r="F94" i="2"/>
  <c r="F50" i="2"/>
  <c r="F83" i="2"/>
  <c r="F11" i="2"/>
  <c r="C199" i="2"/>
  <c r="F144" i="2"/>
  <c r="C557" i="2"/>
  <c r="C486" i="2"/>
  <c r="F89" i="2"/>
  <c r="C35" i="2"/>
  <c r="C142" i="2"/>
  <c r="C128" i="2"/>
  <c r="F90" i="2"/>
  <c r="C51" i="2"/>
  <c r="F78" i="2"/>
  <c r="F47" i="2"/>
  <c r="C195" i="2"/>
  <c r="F140" i="2"/>
  <c r="F93" i="2"/>
  <c r="F37" i="2"/>
  <c r="F91" i="2"/>
  <c r="F12" i="2"/>
  <c r="C196" i="2"/>
  <c r="F141" i="2"/>
  <c r="C198" i="2"/>
  <c r="F143" i="2"/>
  <c r="F77" i="2"/>
  <c r="F35" i="2"/>
  <c r="F102" i="2"/>
  <c r="F51" i="2"/>
  <c r="C14" i="2"/>
  <c r="F101" i="2"/>
  <c r="F38" i="2"/>
  <c r="C501" i="2"/>
  <c r="F249" i="2"/>
  <c r="C194" i="2"/>
  <c r="F139" i="2"/>
  <c r="C190" i="2"/>
  <c r="F135" i="2"/>
  <c r="C143" i="2"/>
  <c r="C129" i="2"/>
  <c r="C12" i="2"/>
  <c r="F85" i="2"/>
  <c r="F36" i="2"/>
  <c r="F100" i="2"/>
  <c r="F25" i="2"/>
  <c r="F86" i="2"/>
  <c r="F48" i="2"/>
  <c r="F82" i="2"/>
  <c r="C50" i="2"/>
  <c r="C32" i="2"/>
  <c r="F99" i="2"/>
  <c r="F13" i="2"/>
  <c r="F67" i="2"/>
  <c r="F34" i="2"/>
  <c r="F66" i="2"/>
  <c r="F21" i="2"/>
  <c r="C105" i="2"/>
  <c r="F45" i="2"/>
  <c r="C7" i="2"/>
  <c r="C175" i="2"/>
  <c r="F120" i="2"/>
  <c r="C171" i="2"/>
  <c r="F116" i="2"/>
  <c r="C167" i="2"/>
  <c r="F112" i="2"/>
  <c r="C139" i="2"/>
  <c r="C21" i="2"/>
  <c r="F60" i="2"/>
  <c r="F46" i="2"/>
  <c r="F57" i="2"/>
  <c r="F8" i="2"/>
  <c r="C141" i="2"/>
  <c r="C127" i="2"/>
  <c r="C88" i="2"/>
  <c r="F30" i="2"/>
  <c r="F64" i="2"/>
  <c r="C48" i="2"/>
  <c r="F71" i="2"/>
  <c r="C68" i="2"/>
  <c r="F75" i="2"/>
  <c r="F10" i="2"/>
  <c r="C25" i="2"/>
  <c r="C97" i="2"/>
  <c r="F44" i="2"/>
  <c r="C94" i="2"/>
  <c r="F6" i="2"/>
  <c r="C95" i="2"/>
  <c r="F18" i="2"/>
  <c r="C529" i="2"/>
  <c r="C451" i="2"/>
  <c r="C108" i="2"/>
  <c r="C26" i="2"/>
  <c r="F74" i="2"/>
  <c r="C49" i="2"/>
  <c r="C183" i="2"/>
  <c r="F128" i="2"/>
  <c r="C180" i="2"/>
  <c r="F125" i="2"/>
  <c r="C27" i="2"/>
  <c r="C30" i="2"/>
  <c r="C29" i="2"/>
  <c r="F73" i="2"/>
  <c r="C31" i="2"/>
  <c r="C188" i="2"/>
  <c r="F133" i="2"/>
  <c r="C178" i="2"/>
  <c r="F123" i="2"/>
  <c r="C174" i="2"/>
  <c r="F119" i="2"/>
  <c r="C8" i="2"/>
  <c r="C6" i="2"/>
  <c r="C176" i="2"/>
  <c r="F121" i="2"/>
  <c r="C102" i="2"/>
  <c r="F7" i="2"/>
  <c r="C96" i="2"/>
  <c r="F31" i="2"/>
  <c r="C92" i="2"/>
  <c r="C22" i="2"/>
  <c r="C138" i="2"/>
  <c r="C87" i="2"/>
  <c r="F17" i="2"/>
  <c r="C547" i="2"/>
  <c r="C474" i="2"/>
  <c r="C168" i="2"/>
  <c r="F113" i="2"/>
  <c r="C182" i="2"/>
  <c r="F127" i="2"/>
  <c r="C184" i="2"/>
  <c r="F129" i="2"/>
  <c r="C187" i="2"/>
  <c r="F132" i="2"/>
  <c r="C186" i="2"/>
  <c r="F131" i="2"/>
  <c r="C109" i="2"/>
  <c r="C47" i="2"/>
  <c r="C23" i="2"/>
  <c r="C104" i="2"/>
  <c r="F32" i="2"/>
  <c r="C101" i="2"/>
  <c r="C46" i="2"/>
  <c r="C100" i="2"/>
  <c r="C24" i="2"/>
  <c r="C89" i="2"/>
  <c r="F43" i="2"/>
  <c r="F58" i="2"/>
  <c r="F20" i="2"/>
  <c r="C137" i="2"/>
  <c r="F59" i="2"/>
  <c r="F33" i="2"/>
  <c r="C170" i="2"/>
  <c r="F115" i="2"/>
  <c r="C172" i="2"/>
  <c r="F117" i="2"/>
  <c r="F68" i="2"/>
  <c r="F49" i="2"/>
  <c r="F76" i="2"/>
  <c r="F22" i="2"/>
  <c r="C103" i="2"/>
  <c r="F19" i="2"/>
  <c r="C179" i="2"/>
  <c r="F124" i="2"/>
  <c r="C140" i="2"/>
  <c r="C126" i="2"/>
  <c r="F69" i="2"/>
  <c r="C66" i="2"/>
  <c r="C93" i="2"/>
  <c r="C45" i="2"/>
  <c r="C86" i="2"/>
  <c r="F5" i="2"/>
  <c r="C84" i="2"/>
  <c r="C20" i="2"/>
  <c r="C85" i="2"/>
  <c r="C44" i="2"/>
  <c r="C166" i="2"/>
  <c r="F111" i="2"/>
  <c r="C5" i="2"/>
  <c r="C136" i="2"/>
  <c r="C19" i="2"/>
  <c r="D47" i="4" l="1"/>
  <c r="G47" i="4" s="1"/>
  <c r="D47" i="5"/>
  <c r="I47" i="5" s="1"/>
  <c r="K47" i="5" s="1"/>
  <c r="D59" i="4"/>
  <c r="G59" i="4" s="1"/>
  <c r="D55" i="5"/>
  <c r="I55" i="5" s="1"/>
  <c r="K55" i="5" s="1"/>
  <c r="D79" i="4"/>
  <c r="G79" i="4" s="1"/>
  <c r="D75" i="5"/>
  <c r="I75" i="5" s="1"/>
  <c r="K75" i="5" s="1"/>
  <c r="D35" i="4"/>
  <c r="G35" i="4" s="1"/>
  <c r="D35" i="5"/>
  <c r="I35" i="5" s="1"/>
  <c r="K35" i="5" s="1"/>
  <c r="D37" i="4"/>
  <c r="G37" i="4" s="1"/>
  <c r="D37" i="5"/>
  <c r="I37" i="5" s="1"/>
  <c r="K37" i="5" s="1"/>
  <c r="D77" i="4"/>
  <c r="G77" i="4" s="1"/>
  <c r="D73" i="5"/>
  <c r="I73" i="5" s="1"/>
  <c r="K73" i="5" s="1"/>
  <c r="D49" i="4"/>
  <c r="G49" i="4" s="1"/>
  <c r="D49" i="5"/>
  <c r="I49" i="5" s="1"/>
  <c r="K49" i="5" s="1"/>
  <c r="D61" i="4"/>
  <c r="G61" i="4" s="1"/>
  <c r="D57" i="5"/>
  <c r="I57" i="5" s="1"/>
  <c r="K57" i="5" s="1"/>
  <c r="D57" i="4"/>
  <c r="G57" i="4" s="1"/>
  <c r="D53" i="5"/>
  <c r="I53" i="5" s="1"/>
  <c r="K53" i="5" s="1"/>
  <c r="C280" i="2"/>
  <c r="D87" i="4"/>
  <c r="G87" i="4" s="1"/>
  <c r="F278" i="2"/>
  <c r="C134" i="2"/>
  <c r="C148" i="2"/>
  <c r="C213" i="2"/>
  <c r="F158" i="2"/>
  <c r="C561" i="2"/>
  <c r="F507" i="2" s="1"/>
  <c r="C506" i="2"/>
  <c r="F450" i="2" s="1"/>
  <c r="F503" i="2" s="1"/>
  <c r="F54" i="2"/>
  <c r="F41" i="2"/>
  <c r="F28" i="2"/>
  <c r="C42" i="2"/>
  <c r="C17" i="2"/>
  <c r="C55" i="2"/>
  <c r="F15" i="2"/>
  <c r="F61" i="2"/>
  <c r="C112" i="2"/>
  <c r="C78" i="2"/>
  <c r="F103" i="2"/>
  <c r="C76" i="2"/>
  <c r="C113" i="2"/>
  <c r="C79" i="2"/>
  <c r="F104" i="2"/>
  <c r="C77" i="2"/>
  <c r="F80" i="2"/>
  <c r="C71" i="2"/>
  <c r="F96" i="2"/>
  <c r="C75" i="2"/>
  <c r="F87" i="2"/>
  <c r="C72" i="2"/>
  <c r="F79" i="2"/>
  <c r="C70" i="2"/>
  <c r="F95" i="2"/>
  <c r="C74" i="2"/>
  <c r="F88" i="2"/>
  <c r="C73" i="2"/>
  <c r="C106" i="2"/>
  <c r="C62" i="2"/>
  <c r="F72" i="2"/>
  <c r="C69" i="2"/>
  <c r="C107" i="2"/>
  <c r="C63" i="2"/>
  <c r="C91" i="2"/>
  <c r="C59" i="2"/>
  <c r="C99" i="2"/>
  <c r="C61" i="2"/>
  <c r="C90" i="2"/>
  <c r="C58" i="2"/>
  <c r="F70" i="2"/>
  <c r="C67" i="2"/>
  <c r="F62" i="2"/>
  <c r="C65" i="2"/>
  <c r="C98" i="2"/>
  <c r="C60" i="2"/>
  <c r="C83" i="2"/>
  <c r="C57" i="2"/>
  <c r="C82" i="2"/>
  <c r="C56" i="2"/>
  <c r="D31" i="4" l="1"/>
  <c r="G31" i="4" s="1"/>
  <c r="D31" i="5"/>
  <c r="I31" i="5" s="1"/>
  <c r="K31" i="5" s="1"/>
  <c r="D29" i="4"/>
  <c r="G29" i="4" s="1"/>
  <c r="D29" i="5"/>
  <c r="I29" i="5" s="1"/>
  <c r="K29" i="5" s="1"/>
  <c r="D27" i="4"/>
  <c r="G27" i="4" s="1"/>
  <c r="D27" i="5"/>
  <c r="I27" i="5" s="1"/>
  <c r="K27" i="5" s="1"/>
  <c r="D9" i="4"/>
  <c r="G9" i="4" s="1"/>
  <c r="D9" i="5"/>
  <c r="I9" i="5" s="1"/>
  <c r="K9" i="5" s="1"/>
  <c r="D11" i="4"/>
  <c r="G11" i="4" s="1"/>
  <c r="D11" i="5"/>
  <c r="I11" i="5" s="1"/>
  <c r="K11" i="5" s="1"/>
  <c r="D17" i="4"/>
  <c r="G17" i="4" s="1"/>
  <c r="D17" i="5"/>
  <c r="I17" i="5" s="1"/>
  <c r="K17" i="5" s="1"/>
  <c r="D19" i="4"/>
  <c r="G19" i="4" s="1"/>
  <c r="D19" i="5"/>
  <c r="I19" i="5" s="1"/>
  <c r="K19" i="5" s="1"/>
  <c r="D33" i="4"/>
  <c r="G33" i="4" s="1"/>
  <c r="D33" i="5"/>
  <c r="I33" i="5" s="1"/>
  <c r="K33" i="5" s="1"/>
  <c r="D15" i="4"/>
  <c r="G15" i="4" s="1"/>
  <c r="D15" i="5"/>
  <c r="I15" i="5" s="1"/>
  <c r="K15" i="5" s="1"/>
  <c r="D13" i="4"/>
  <c r="G13" i="4" s="1"/>
  <c r="D13" i="5"/>
  <c r="I13" i="5" s="1"/>
  <c r="K13" i="5" s="1"/>
  <c r="D41" i="4"/>
  <c r="G41" i="4" s="1"/>
  <c r="D41" i="5"/>
  <c r="I41" i="5" s="1"/>
  <c r="K41" i="5" s="1"/>
  <c r="D39" i="4"/>
  <c r="G39" i="4" s="1"/>
  <c r="D39" i="5"/>
  <c r="I39" i="5" s="1"/>
  <c r="K39" i="5" s="1"/>
  <c r="D21" i="4"/>
  <c r="G21" i="4" s="1"/>
  <c r="D21" i="5"/>
  <c r="I21" i="5" s="1"/>
  <c r="K21" i="5" s="1"/>
  <c r="D89" i="4"/>
  <c r="G89" i="4" s="1"/>
  <c r="D85" i="5"/>
  <c r="I85" i="5" s="1"/>
  <c r="K85" i="5" s="1"/>
  <c r="F559" i="2"/>
  <c r="C110" i="2"/>
  <c r="F56" i="2" s="1"/>
  <c r="F110" i="2" s="1"/>
  <c r="C111" i="2" s="1"/>
  <c r="C120" i="2" s="1"/>
  <c r="C80" i="2"/>
  <c r="D23" i="4" l="1"/>
  <c r="G23" i="4" s="1"/>
  <c r="D23" i="5"/>
  <c r="I23" i="5" s="1"/>
  <c r="K23" i="5" s="1"/>
  <c r="D25" i="4"/>
  <c r="G25" i="4" s="1"/>
  <c r="D25" i="5"/>
  <c r="I25" i="5" s="1"/>
  <c r="K25" i="5" s="1"/>
  <c r="D91" i="4"/>
  <c r="G91" i="4" s="1"/>
  <c r="D87" i="5"/>
  <c r="I87" i="5" s="1"/>
  <c r="K87" i="5" s="1"/>
  <c r="G53" i="4" l="1"/>
  <c r="G55" i="4" s="1"/>
  <c r="F372" i="2" l="1"/>
  <c r="F378" i="2" s="1"/>
  <c r="D81" i="4" l="1"/>
  <c r="G81" i="4" s="1"/>
  <c r="G103" i="4" s="1"/>
  <c r="D77" i="5"/>
  <c r="I77" i="5" s="1"/>
  <c r="K77" i="5" s="1"/>
  <c r="K152" i="5" s="1"/>
</calcChain>
</file>

<file path=xl/sharedStrings.xml><?xml version="1.0" encoding="utf-8"?>
<sst xmlns="http://schemas.openxmlformats.org/spreadsheetml/2006/main" count="833" uniqueCount="183">
  <si>
    <t xml:space="preserve">Measurement-Sheet </t>
  </si>
  <si>
    <t xml:space="preserve">S.No. </t>
  </si>
  <si>
    <t>Description</t>
  </si>
  <si>
    <t>No.</t>
  </si>
  <si>
    <t>Length</t>
  </si>
  <si>
    <t>Breadth</t>
  </si>
  <si>
    <t>Quantity</t>
  </si>
  <si>
    <t>Feet-inch</t>
  </si>
  <si>
    <t>Tile Floor(1500x800)</t>
  </si>
  <si>
    <t>Total</t>
  </si>
  <si>
    <t xml:space="preserve">Tile Groove Grouting </t>
  </si>
  <si>
    <t>Same Above Qty.</t>
  </si>
  <si>
    <t xml:space="preserve">Tile Acid wash Cleaning </t>
  </si>
  <si>
    <t>Tile Skirting (1500x800)</t>
  </si>
  <si>
    <t xml:space="preserve">Zero Joit Point </t>
  </si>
  <si>
    <t>Tile Dado(1500x800)</t>
  </si>
  <si>
    <t>Tile Border (1500x800)</t>
  </si>
  <si>
    <t>Italian Marble Dado</t>
  </si>
  <si>
    <t xml:space="preserve">Italian Marble Dado Mirror Polish </t>
  </si>
  <si>
    <t xml:space="preserve">Italian Marble Counter </t>
  </si>
  <si>
    <t xml:space="preserve">Italian Marble Basin Counter </t>
  </si>
  <si>
    <t xml:space="preserve">Italian Marble Counter Top Mirror Polish </t>
  </si>
  <si>
    <t xml:space="preserve">Italian Marble Border </t>
  </si>
  <si>
    <t xml:space="preserve">Italian Marble Border  Mirror Polish </t>
  </si>
  <si>
    <t xml:space="preserve">Bullnose Moulding </t>
  </si>
  <si>
    <t xml:space="preserve">Edge Polish </t>
  </si>
  <si>
    <t xml:space="preserve">Italian Marble Skirting </t>
  </si>
  <si>
    <t xml:space="preserve">Italian Marble Skirting Mirror Polish </t>
  </si>
  <si>
    <t xml:space="preserve">Champher </t>
  </si>
  <si>
    <t xml:space="preserve">Drill Hole </t>
  </si>
  <si>
    <t xml:space="preserve">Basin Gall Cutting Hole </t>
  </si>
  <si>
    <t xml:space="preserve">PCC Work </t>
  </si>
  <si>
    <t xml:space="preserve">V Groove </t>
  </si>
  <si>
    <t xml:space="preserve">Demolish </t>
  </si>
  <si>
    <t>Tile Dado(750x250)</t>
  </si>
  <si>
    <t>Tile Border (25mmx600)</t>
  </si>
  <si>
    <t xml:space="preserve">Granite Window Suport Jamb </t>
  </si>
  <si>
    <t xml:space="preserve">Granite Dado </t>
  </si>
  <si>
    <t xml:space="preserve">Granite Border </t>
  </si>
  <si>
    <t>Granider Raugh Making</t>
  </si>
  <si>
    <t>Umbra</t>
  </si>
  <si>
    <t xml:space="preserve">Full Moulding </t>
  </si>
  <si>
    <t xml:space="preserve">Italian Marble Floor </t>
  </si>
  <si>
    <t xml:space="preserve">Italian Marble Floor Mirror Polish </t>
  </si>
  <si>
    <t xml:space="preserve">Italian Marble Desgine Floor </t>
  </si>
  <si>
    <t>Edge Polish</t>
  </si>
  <si>
    <t xml:space="preserve">Granite Floor </t>
  </si>
  <si>
    <t xml:space="preserve">Granite Skirting </t>
  </si>
  <si>
    <t>Tile Floor (800x400)</t>
  </si>
  <si>
    <t xml:space="preserve">Total </t>
  </si>
  <si>
    <r>
      <t xml:space="preserve">TS INTERIOR                                                                                                                                      </t>
    </r>
    <r>
      <rPr>
        <sz val="11"/>
        <rFont val="Cambria"/>
        <family val="1"/>
        <scheme val="major"/>
      </rPr>
      <t>Date:- 18.07.2020</t>
    </r>
  </si>
  <si>
    <t>Quqntity</t>
  </si>
  <si>
    <t>Sft./Rft.</t>
  </si>
  <si>
    <t>TS INTERIOR                                                                                                                            Date:-21.07.2020</t>
  </si>
  <si>
    <r>
      <t xml:space="preserve">Site Name:-Dr. Dy Patil  Nursing  Hostel, Pimpri                                                                                            </t>
    </r>
    <r>
      <rPr>
        <b/>
        <sz val="11"/>
        <rFont val="Cambria"/>
        <family val="1"/>
        <scheme val="major"/>
      </rPr>
      <t xml:space="preserve">  (3 Floor)</t>
    </r>
  </si>
  <si>
    <t>Nhani Trap Jali</t>
  </si>
  <si>
    <t>Italian Marble Window/Door Jamb</t>
  </si>
  <si>
    <t xml:space="preserve">Italian Marble Window/Door Jamb Mirror Polish </t>
  </si>
  <si>
    <t xml:space="preserve">Patta Champher </t>
  </si>
  <si>
    <t xml:space="preserve"> </t>
  </si>
  <si>
    <t>C/F</t>
  </si>
  <si>
    <t>B/F</t>
  </si>
  <si>
    <t>Champher 1 1/2"</t>
  </si>
  <si>
    <t xml:space="preserve">   Tile Acid Wash Cleaning             B/F</t>
  </si>
  <si>
    <t>Supplier Details</t>
  </si>
  <si>
    <t>Recever Details</t>
  </si>
  <si>
    <t>TS INTERIOR</t>
  </si>
  <si>
    <r>
      <t>Site Name :</t>
    </r>
    <r>
      <rPr>
        <sz val="11"/>
        <color theme="1"/>
        <rFont val="Cambria"/>
        <family val="1"/>
        <scheme val="major"/>
      </rPr>
      <t>-Dr. Dy Patil Nursing Hostel,Pimpri</t>
    </r>
  </si>
  <si>
    <t xml:space="preserve">Flat No A/1104,Royal Corts Anand Park </t>
  </si>
  <si>
    <t>Dange Chowk Thergaon Pune -411033</t>
  </si>
  <si>
    <t>PHONE :-9822834278</t>
  </si>
  <si>
    <t xml:space="preserve">Description </t>
  </si>
  <si>
    <t>Unit</t>
  </si>
  <si>
    <t>Rate</t>
  </si>
  <si>
    <t>Amount</t>
  </si>
  <si>
    <t>Rs.</t>
  </si>
  <si>
    <t>Total Amount</t>
  </si>
  <si>
    <t>Sft</t>
  </si>
  <si>
    <t>Rft</t>
  </si>
  <si>
    <t>Nos</t>
  </si>
  <si>
    <t>Sft/Rft</t>
  </si>
  <si>
    <t xml:space="preserve">Mirror Polish </t>
  </si>
  <si>
    <t xml:space="preserve">Italian Marble Window/Door Jamb </t>
  </si>
  <si>
    <t xml:space="preserve">Polish </t>
  </si>
  <si>
    <t xml:space="preserve">Italian Marble Counter Top Mirror </t>
  </si>
  <si>
    <t xml:space="preserve">    Bullnose Moulding                 B/F</t>
  </si>
  <si>
    <t>PVC Bubble Sheet Covering</t>
  </si>
  <si>
    <t>Rft/Sft</t>
  </si>
  <si>
    <t xml:space="preserve">&amp; Mirror Polish </t>
  </si>
  <si>
    <t>9'' Design Skirting 4 Border Making &amp; Polish</t>
  </si>
  <si>
    <t xml:space="preserve">9'' Design Skirting 4 Border Making </t>
  </si>
  <si>
    <t xml:space="preserve"> Bill For 3rd Floor Tile &amp; Italian Marble Floor &amp; Granite Work </t>
  </si>
  <si>
    <t xml:space="preserve">C/F </t>
  </si>
  <si>
    <t xml:space="preserve">Italian Marble Desgin Floor </t>
  </si>
  <si>
    <t>Date :-12.10.2020</t>
  </si>
  <si>
    <t xml:space="preserve"> ABSTRACT SHEET (3rd Floor)</t>
  </si>
  <si>
    <t>Bullnose Moulding (patren Moulding)</t>
  </si>
  <si>
    <t xml:space="preserve">Bill </t>
  </si>
  <si>
    <t>No.01</t>
  </si>
  <si>
    <t>No.02</t>
  </si>
  <si>
    <t>No.03</t>
  </si>
  <si>
    <t xml:space="preserve">Ground </t>
  </si>
  <si>
    <t>Floor</t>
  </si>
  <si>
    <t>Stair</t>
  </si>
  <si>
    <t>Case</t>
  </si>
  <si>
    <t>Qty</t>
  </si>
  <si>
    <t>Tile Border (750x250)</t>
  </si>
  <si>
    <t>Granite Top</t>
  </si>
  <si>
    <t>Granite Dado 40mm</t>
  </si>
  <si>
    <t>Granite Skirting/Top/Border 40mm</t>
  </si>
  <si>
    <t>Granite Floor 40mm</t>
  </si>
  <si>
    <t>Granite Skirting 40mm</t>
  </si>
  <si>
    <t xml:space="preserve">Granite Tappa/Riser </t>
  </si>
  <si>
    <t>Tile Floor (Paving Tile )</t>
  </si>
  <si>
    <t>Tile Floor (600x600)</t>
  </si>
  <si>
    <t>Tile Skirting(600x600)</t>
  </si>
  <si>
    <t>Tile Dado(600x600)</t>
  </si>
  <si>
    <t>Tile Border(Paving Tile)</t>
  </si>
  <si>
    <t xml:space="preserve">9'' Desgin Tile Skirting 3 Border Making &amp; Polish </t>
  </si>
  <si>
    <t xml:space="preserve">Granite Counter </t>
  </si>
  <si>
    <t>Granite Basin Counter</t>
  </si>
  <si>
    <t xml:space="preserve">C Groove </t>
  </si>
  <si>
    <t xml:space="preserve">L Groove </t>
  </si>
  <si>
    <t>Half Moulding</t>
  </si>
  <si>
    <t xml:space="preserve">Cutting Demolish </t>
  </si>
  <si>
    <t xml:space="preserve">Door Closer Machine </t>
  </si>
  <si>
    <t>SS Brass Patti</t>
  </si>
  <si>
    <t xml:space="preserve">Granite Cross Skirting </t>
  </si>
  <si>
    <t xml:space="preserve">Italian Marble Tappa Riser Mirror Polish </t>
  </si>
  <si>
    <t>Italian Marble Tappa/Riser/Border Pest</t>
  </si>
  <si>
    <t xml:space="preserve">Italian Marble Cross Skirting </t>
  </si>
  <si>
    <t xml:space="preserve">Tappa Demolish </t>
  </si>
  <si>
    <t>OLD</t>
  </si>
  <si>
    <t>Tile Floor Fitting (1800x1200)</t>
  </si>
  <si>
    <t xml:space="preserve">Living Area     </t>
  </si>
  <si>
    <t>I.P.S. Cement Finish Ghotai (Scceding)</t>
  </si>
  <si>
    <t xml:space="preserve">Tile Wash By Cera Clean &amp; Cement Grout Filling </t>
  </si>
  <si>
    <t>P V C   Sheet Covering</t>
  </si>
  <si>
    <t xml:space="preserve">Marble Top,Border &amp; Jamb Fitting </t>
  </si>
  <si>
    <t>Dhar Cuttting &amp; Demolish</t>
  </si>
  <si>
    <t>3/4" Champer</t>
  </si>
  <si>
    <t>Tile Skirting &amp; Border Fitting (1800x1200)</t>
  </si>
  <si>
    <t>Zero Point Joint Making</t>
  </si>
  <si>
    <t xml:space="preserve">Marble Floor,Border &amp; Jamb Fitting </t>
  </si>
  <si>
    <t>Marble Top Floor</t>
  </si>
  <si>
    <t>Mashan</t>
  </si>
  <si>
    <t>Tile Repair</t>
  </si>
  <si>
    <t>Halper</t>
  </si>
  <si>
    <t>Desigh Wall Tile(6"x3")</t>
  </si>
  <si>
    <t>Epoxy Grout Filling</t>
  </si>
  <si>
    <t>Tile Floor Fitting (600x600)</t>
  </si>
  <si>
    <t>Balkani</t>
  </si>
  <si>
    <t>Master Bedroom 01</t>
  </si>
  <si>
    <t>Master Bedroom 02</t>
  </si>
  <si>
    <t xml:space="preserve">Guest  Bedroom </t>
  </si>
  <si>
    <t>Kitchen</t>
  </si>
  <si>
    <t>Extra</t>
  </si>
  <si>
    <t>Kitchen Counter</t>
  </si>
  <si>
    <t>Marble Border</t>
  </si>
  <si>
    <t>Pata Champer</t>
  </si>
  <si>
    <t xml:space="preserve">Sink Gala Cutting </t>
  </si>
  <si>
    <t>Marble Dado</t>
  </si>
  <si>
    <t>Tile Floor(600x600)</t>
  </si>
  <si>
    <t>Tile Dedo(600x600)</t>
  </si>
  <si>
    <t>Jali</t>
  </si>
  <si>
    <t xml:space="preserve">Marble Top </t>
  </si>
  <si>
    <t>Tile Border(1800x1200)</t>
  </si>
  <si>
    <t>Master Tolite</t>
  </si>
  <si>
    <t>Wall Tile(1200x600)</t>
  </si>
  <si>
    <t>Zero Point</t>
  </si>
  <si>
    <t>Design Tile Dedo</t>
  </si>
  <si>
    <t>Drill Hole</t>
  </si>
  <si>
    <t>Marble Counter</t>
  </si>
  <si>
    <t>Tile Border (1200x600)</t>
  </si>
  <si>
    <t>Window Demolish</t>
  </si>
  <si>
    <t>Nish Demolish</t>
  </si>
  <si>
    <t xml:space="preserve">Tile Floor </t>
  </si>
  <si>
    <t>Master Tolite 2</t>
  </si>
  <si>
    <t xml:space="preserve">Zero Point </t>
  </si>
  <si>
    <t>Guest Tolite</t>
  </si>
  <si>
    <t>Floor Tile</t>
  </si>
  <si>
    <t>Common Tolite</t>
  </si>
  <si>
    <t>Wall Plaster(I P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</si>
</sst>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7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vertical="center"/>
    </xf>
    <xf numFmtId="0" fontId="1" fillId="0" borderId="0" xfId="0" applyFont="1"/>
    <xf numFmtId="2" fontId="5" fillId="2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2" fontId="7" fillId="2" borderId="1" xfId="0" applyNumberFormat="1" applyFont="1" applyFill="1" applyBorder="1" applyAlignment="1">
      <alignment horizontal="right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left" indent="1"/>
    </xf>
    <xf numFmtId="1" fontId="7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1" fontId="5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left"/>
    </xf>
    <xf numFmtId="2" fontId="5" fillId="2" borderId="3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vertical="center"/>
    </xf>
    <xf numFmtId="0" fontId="5" fillId="0" borderId="0" xfId="0" applyFont="1"/>
    <xf numFmtId="0" fontId="3" fillId="0" borderId="1" xfId="1" applyFont="1" applyBorder="1"/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5" fillId="2" borderId="1" xfId="0" applyNumberFormat="1" applyFont="1" applyFill="1" applyBorder="1"/>
    <xf numFmtId="2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2" fontId="9" fillId="2" borderId="1" xfId="0" applyNumberFormat="1" applyFont="1" applyFill="1" applyBorder="1" applyAlignment="1">
      <alignment horizontal="left" vertical="center"/>
    </xf>
    <xf numFmtId="2" fontId="12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horizontal="left"/>
    </xf>
    <xf numFmtId="2" fontId="3" fillId="2" borderId="1" xfId="0" applyNumberFormat="1" applyFont="1" applyFill="1" applyBorder="1" applyAlignment="1">
      <alignment horizontal="left" shrinkToFit="1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2" fontId="2" fillId="2" borderId="1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2" fontId="5" fillId="2" borderId="2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1"/>
  <sheetViews>
    <sheetView tabSelected="1" zoomScale="118" zoomScaleNormal="115" workbookViewId="0">
      <selection activeCell="H611" sqref="H611"/>
    </sheetView>
  </sheetViews>
  <sheetFormatPr defaultRowHeight="14.1" customHeight="1" x14ac:dyDescent="0.3"/>
  <cols>
    <col min="1" max="1" width="0.109375" customWidth="1"/>
    <col min="2" max="2" width="6.44140625" bestFit="1" customWidth="1"/>
    <col min="3" max="3" width="56.5546875" bestFit="1" customWidth="1"/>
    <col min="4" max="4" width="6" customWidth="1"/>
    <col min="5" max="5" width="10.44140625" bestFit="1" customWidth="1"/>
    <col min="6" max="6" width="9.5546875" customWidth="1"/>
    <col min="7" max="7" width="9.88671875" customWidth="1"/>
    <col min="8" max="8" width="10.109375" bestFit="1" customWidth="1"/>
    <col min="11" max="11" width="34.33203125" bestFit="1" customWidth="1"/>
  </cols>
  <sheetData>
    <row r="1" spans="1:7" ht="14.1" customHeight="1" x14ac:dyDescent="0.3">
      <c r="B1" s="62" t="s">
        <v>50</v>
      </c>
      <c r="C1" s="63"/>
      <c r="D1" s="63"/>
      <c r="E1" s="63"/>
      <c r="F1" s="63"/>
      <c r="G1" s="63"/>
    </row>
    <row r="2" spans="1:7" ht="14.1" customHeight="1" x14ac:dyDescent="0.3">
      <c r="B2" s="64" t="s">
        <v>54</v>
      </c>
      <c r="C2" s="64"/>
      <c r="D2" s="64"/>
      <c r="E2" s="64"/>
      <c r="F2" s="64"/>
      <c r="G2" s="64"/>
    </row>
    <row r="3" spans="1:7" ht="14.1" customHeight="1" x14ac:dyDescent="0.3">
      <c r="B3" s="65" t="s">
        <v>0</v>
      </c>
      <c r="C3" s="65"/>
      <c r="D3" s="65"/>
      <c r="E3" s="65"/>
      <c r="F3" s="65"/>
      <c r="G3" s="65"/>
    </row>
    <row r="4" spans="1:7" ht="14.1" customHeight="1" x14ac:dyDescent="0.3">
      <c r="B4" s="2"/>
      <c r="C4" s="2"/>
      <c r="D4" s="2"/>
      <c r="E4" s="2"/>
      <c r="F4" s="2"/>
      <c r="G4" s="2"/>
    </row>
    <row r="5" spans="1:7" ht="14.1" customHeight="1" x14ac:dyDescent="0.3">
      <c r="B5" s="1" t="s">
        <v>1</v>
      </c>
      <c r="C5" s="7"/>
      <c r="D5" s="1" t="s">
        <v>3</v>
      </c>
      <c r="E5" s="2" t="s">
        <v>4</v>
      </c>
      <c r="F5" s="2" t="s">
        <v>5</v>
      </c>
      <c r="G5" s="2" t="s">
        <v>6</v>
      </c>
    </row>
    <row r="6" spans="1:7" ht="14.1" customHeight="1" x14ac:dyDescent="0.3">
      <c r="B6" s="1"/>
      <c r="C6" s="3"/>
      <c r="D6" s="1"/>
      <c r="E6" s="2" t="s">
        <v>7</v>
      </c>
      <c r="F6" s="2" t="s">
        <v>7</v>
      </c>
      <c r="G6" s="2"/>
    </row>
    <row r="7" spans="1:7" ht="14.1" customHeight="1" x14ac:dyDescent="0.3">
      <c r="B7" s="1"/>
      <c r="C7" s="3"/>
      <c r="D7" s="1"/>
      <c r="E7" s="2"/>
      <c r="F7" s="2"/>
      <c r="G7" s="2"/>
    </row>
    <row r="8" spans="1:7" ht="14.1" customHeight="1" x14ac:dyDescent="0.3">
      <c r="A8">
        <v>301</v>
      </c>
      <c r="B8" s="4">
        <v>1</v>
      </c>
      <c r="C8" s="15" t="s">
        <v>133</v>
      </c>
      <c r="D8" s="4">
        <v>1</v>
      </c>
      <c r="E8" s="5">
        <v>6</v>
      </c>
      <c r="F8" s="5">
        <v>5</v>
      </c>
      <c r="G8" s="5">
        <f>E8*F8</f>
        <v>30</v>
      </c>
    </row>
    <row r="9" spans="1:7" ht="14.1" customHeight="1" x14ac:dyDescent="0.3">
      <c r="B9" s="1"/>
      <c r="C9" s="6" t="s">
        <v>134</v>
      </c>
      <c r="D9" s="4">
        <v>1</v>
      </c>
      <c r="E9" s="5">
        <v>19.329999999999998</v>
      </c>
      <c r="F9" s="5">
        <v>12.55</v>
      </c>
      <c r="G9" s="5">
        <f t="shared" ref="G9:G14" si="0">E9*F9</f>
        <v>242.5915</v>
      </c>
    </row>
    <row r="10" spans="1:7" ht="14.1" customHeight="1" x14ac:dyDescent="0.3">
      <c r="B10" s="1"/>
      <c r="C10" s="3"/>
      <c r="D10" s="4">
        <v>1</v>
      </c>
      <c r="E10" s="5">
        <v>15.75</v>
      </c>
      <c r="F10" s="5">
        <v>10.8</v>
      </c>
      <c r="G10" s="5">
        <f t="shared" si="0"/>
        <v>170.10000000000002</v>
      </c>
    </row>
    <row r="11" spans="1:7" ht="14.1" customHeight="1" x14ac:dyDescent="0.3">
      <c r="B11" s="4"/>
      <c r="C11" s="7"/>
      <c r="D11" s="4">
        <v>1</v>
      </c>
      <c r="E11" s="5">
        <v>9.5</v>
      </c>
      <c r="F11" s="5">
        <v>6.33</v>
      </c>
      <c r="G11" s="5">
        <f t="shared" si="0"/>
        <v>60.134999999999998</v>
      </c>
    </row>
    <row r="12" spans="1:7" ht="14.1" customHeight="1" x14ac:dyDescent="0.3">
      <c r="B12" s="4"/>
      <c r="C12" s="7"/>
      <c r="D12" s="4">
        <v>1</v>
      </c>
      <c r="E12" s="5">
        <v>4.41</v>
      </c>
      <c r="F12" s="5">
        <v>2.91</v>
      </c>
      <c r="G12" s="5">
        <f t="shared" si="0"/>
        <v>12.833100000000002</v>
      </c>
    </row>
    <row r="13" spans="1:7" ht="14.1" customHeight="1" x14ac:dyDescent="0.3">
      <c r="B13" s="4"/>
      <c r="C13" s="6" t="s">
        <v>40</v>
      </c>
      <c r="D13" s="4">
        <v>1</v>
      </c>
      <c r="E13" s="5">
        <v>2.41</v>
      </c>
      <c r="F13" s="5">
        <v>0.33</v>
      </c>
      <c r="G13" s="5">
        <f t="shared" si="0"/>
        <v>0.79530000000000012</v>
      </c>
    </row>
    <row r="14" spans="1:7" ht="14.1" customHeight="1" x14ac:dyDescent="0.3">
      <c r="B14" s="4"/>
      <c r="C14" s="6" t="s">
        <v>40</v>
      </c>
      <c r="D14" s="4">
        <v>2</v>
      </c>
      <c r="E14" s="5">
        <v>2.83</v>
      </c>
      <c r="F14" s="5">
        <v>0.75</v>
      </c>
      <c r="G14" s="5">
        <f t="shared" si="0"/>
        <v>2.1225000000000001</v>
      </c>
    </row>
    <row r="15" spans="1:7" ht="14.1" customHeight="1" x14ac:dyDescent="0.3">
      <c r="B15" s="4"/>
      <c r="C15" s="7"/>
      <c r="D15" s="4"/>
      <c r="E15" s="5"/>
      <c r="F15" s="2" t="s">
        <v>9</v>
      </c>
      <c r="G15" s="2">
        <f>SUM(G8:G14)</f>
        <v>518.5773999999999</v>
      </c>
    </row>
    <row r="16" spans="1:7" ht="14.1" customHeight="1" x14ac:dyDescent="0.3">
      <c r="B16" s="4">
        <v>2</v>
      </c>
      <c r="C16" s="7" t="s">
        <v>136</v>
      </c>
      <c r="D16" s="4"/>
      <c r="E16" s="5"/>
      <c r="F16" s="2"/>
      <c r="G16" s="5"/>
    </row>
    <row r="17" spans="2:7" ht="14.1" customHeight="1" x14ac:dyDescent="0.3">
      <c r="B17" s="4"/>
      <c r="C17" s="7" t="s">
        <v>11</v>
      </c>
      <c r="D17" s="4"/>
      <c r="E17" s="5"/>
      <c r="F17" s="2" t="s">
        <v>9</v>
      </c>
      <c r="G17" s="2">
        <v>518.58000000000004</v>
      </c>
    </row>
    <row r="18" spans="2:7" ht="14.1" customHeight="1" x14ac:dyDescent="0.3">
      <c r="B18" s="4"/>
      <c r="C18" s="7"/>
      <c r="D18" s="4"/>
      <c r="E18" s="5"/>
      <c r="F18" s="2"/>
      <c r="G18" s="5"/>
    </row>
    <row r="19" spans="2:7" ht="14.1" customHeight="1" x14ac:dyDescent="0.3">
      <c r="B19" s="4">
        <v>3</v>
      </c>
      <c r="C19" s="7" t="s">
        <v>137</v>
      </c>
      <c r="D19" s="4"/>
      <c r="E19" s="5"/>
      <c r="F19" s="2"/>
      <c r="G19" s="5"/>
    </row>
    <row r="20" spans="2:7" ht="14.1" customHeight="1" x14ac:dyDescent="0.3">
      <c r="B20" s="4"/>
      <c r="C20" s="7" t="s">
        <v>11</v>
      </c>
      <c r="D20" s="4"/>
      <c r="E20" s="5"/>
      <c r="F20" s="2" t="s">
        <v>9</v>
      </c>
      <c r="G20" s="2">
        <v>518.58000000000004</v>
      </c>
    </row>
    <row r="21" spans="2:7" ht="14.1" customHeight="1" x14ac:dyDescent="0.3">
      <c r="B21" s="4"/>
      <c r="C21" s="7"/>
      <c r="D21" s="4"/>
      <c r="E21" s="5"/>
      <c r="F21" s="2"/>
      <c r="G21" s="5"/>
    </row>
    <row r="22" spans="2:7" ht="14.1" customHeight="1" x14ac:dyDescent="0.3">
      <c r="B22" s="4">
        <v>4</v>
      </c>
      <c r="C22" s="61" t="s">
        <v>149</v>
      </c>
      <c r="D22" s="4"/>
      <c r="E22" s="4"/>
      <c r="F22" s="4"/>
      <c r="G22" s="4"/>
    </row>
    <row r="23" spans="2:7" ht="14.1" customHeight="1" x14ac:dyDescent="0.3">
      <c r="B23" s="4"/>
      <c r="C23" s="7" t="s">
        <v>11</v>
      </c>
      <c r="D23" s="4"/>
      <c r="E23" s="4"/>
      <c r="F23" s="2" t="s">
        <v>9</v>
      </c>
      <c r="G23" s="2">
        <v>518.58000000000004</v>
      </c>
    </row>
    <row r="24" spans="2:7" ht="14.1" customHeight="1" x14ac:dyDescent="0.3">
      <c r="B24" s="4"/>
      <c r="C24" s="7"/>
      <c r="D24" s="4"/>
      <c r="E24" s="5"/>
      <c r="F24" s="2"/>
      <c r="G24" s="5"/>
    </row>
    <row r="25" spans="2:7" ht="14.1" customHeight="1" x14ac:dyDescent="0.3">
      <c r="B25" s="4"/>
      <c r="C25" s="7"/>
      <c r="D25" s="4"/>
      <c r="E25" s="5"/>
      <c r="F25" s="2"/>
      <c r="G25" s="5"/>
    </row>
    <row r="26" spans="2:7" ht="14.1" customHeight="1" x14ac:dyDescent="0.3">
      <c r="B26" s="4">
        <v>5</v>
      </c>
      <c r="C26" s="7" t="s">
        <v>135</v>
      </c>
      <c r="D26" s="4">
        <v>1</v>
      </c>
      <c r="E26" s="5">
        <v>6</v>
      </c>
      <c r="F26" s="5">
        <v>5</v>
      </c>
      <c r="G26" s="5">
        <f>E26*F26</f>
        <v>30</v>
      </c>
    </row>
    <row r="27" spans="2:7" ht="14.1" customHeight="1" x14ac:dyDescent="0.3">
      <c r="B27" s="4"/>
      <c r="C27" s="7"/>
      <c r="D27" s="4">
        <v>1</v>
      </c>
      <c r="E27" s="5">
        <v>19.329999999999998</v>
      </c>
      <c r="F27" s="5">
        <v>12.55</v>
      </c>
      <c r="G27" s="5">
        <f t="shared" ref="G27:G33" si="1">E27*F27</f>
        <v>242.5915</v>
      </c>
    </row>
    <row r="28" spans="2:7" ht="14.1" customHeight="1" x14ac:dyDescent="0.3">
      <c r="B28" s="4"/>
      <c r="C28" s="7"/>
      <c r="D28" s="4">
        <v>1</v>
      </c>
      <c r="E28" s="5">
        <v>15.75</v>
      </c>
      <c r="F28" s="5">
        <v>10.8</v>
      </c>
      <c r="G28" s="5">
        <f t="shared" si="1"/>
        <v>170.10000000000002</v>
      </c>
    </row>
    <row r="29" spans="2:7" ht="14.1" customHeight="1" x14ac:dyDescent="0.3">
      <c r="B29" s="4"/>
      <c r="C29" s="7"/>
      <c r="D29" s="4">
        <v>1</v>
      </c>
      <c r="E29" s="5">
        <v>9.5</v>
      </c>
      <c r="F29" s="5">
        <v>6.33</v>
      </c>
      <c r="G29" s="5">
        <f t="shared" si="1"/>
        <v>60.134999999999998</v>
      </c>
    </row>
    <row r="30" spans="2:7" ht="14.1" customHeight="1" x14ac:dyDescent="0.3">
      <c r="B30" s="4"/>
      <c r="C30" s="7"/>
      <c r="D30" s="4">
        <v>1</v>
      </c>
      <c r="E30" s="5">
        <v>4.41</v>
      </c>
      <c r="F30" s="5">
        <v>2.91</v>
      </c>
      <c r="G30" s="5">
        <f t="shared" si="1"/>
        <v>12.833100000000002</v>
      </c>
    </row>
    <row r="31" spans="2:7" ht="14.1" customHeight="1" x14ac:dyDescent="0.3">
      <c r="B31" s="4"/>
      <c r="C31" s="7"/>
      <c r="D31" s="4">
        <v>1</v>
      </c>
      <c r="E31" s="5">
        <v>2.41</v>
      </c>
      <c r="F31" s="5">
        <v>0.33</v>
      </c>
      <c r="G31" s="5">
        <f t="shared" si="1"/>
        <v>0.79530000000000012</v>
      </c>
    </row>
    <row r="32" spans="2:7" ht="14.1" customHeight="1" x14ac:dyDescent="0.3">
      <c r="B32" s="4"/>
      <c r="C32" s="7"/>
      <c r="D32" s="4">
        <v>2</v>
      </c>
      <c r="E32" s="5">
        <v>2.83</v>
      </c>
      <c r="F32" s="5">
        <v>0.75</v>
      </c>
      <c r="G32" s="5">
        <f t="shared" si="1"/>
        <v>2.1225000000000001</v>
      </c>
    </row>
    <row r="33" spans="2:7" ht="14.1" customHeight="1" x14ac:dyDescent="0.3">
      <c r="B33" s="4"/>
      <c r="C33" s="7"/>
      <c r="D33" s="4">
        <v>1</v>
      </c>
      <c r="E33" s="5">
        <v>10.25</v>
      </c>
      <c r="F33" s="5">
        <v>10.08</v>
      </c>
      <c r="G33" s="5">
        <f t="shared" si="1"/>
        <v>103.32000000000001</v>
      </c>
    </row>
    <row r="34" spans="2:7" ht="14.1" customHeight="1" x14ac:dyDescent="0.3">
      <c r="B34" s="4"/>
      <c r="C34" s="7"/>
      <c r="D34" s="1"/>
      <c r="E34" s="2"/>
      <c r="F34" s="2" t="s">
        <v>9</v>
      </c>
      <c r="G34" s="2">
        <v>518.58000000000004</v>
      </c>
    </row>
    <row r="35" spans="2:7" ht="14.1" customHeight="1" x14ac:dyDescent="0.3">
      <c r="B35" s="4"/>
      <c r="C35" s="7"/>
      <c r="D35" s="1"/>
      <c r="E35" s="2"/>
      <c r="F35" s="2"/>
      <c r="G35" s="5"/>
    </row>
    <row r="36" spans="2:7" ht="14.1" customHeight="1" x14ac:dyDescent="0.3">
      <c r="B36" s="4">
        <v>6</v>
      </c>
      <c r="C36" s="7" t="s">
        <v>138</v>
      </c>
      <c r="D36" s="60">
        <v>1</v>
      </c>
      <c r="E36" s="7">
        <v>3.08</v>
      </c>
      <c r="F36" s="7"/>
      <c r="G36" s="7">
        <v>3.08</v>
      </c>
    </row>
    <row r="37" spans="2:7" ht="14.1" customHeight="1" x14ac:dyDescent="0.3">
      <c r="B37" s="4"/>
      <c r="C37" s="7"/>
      <c r="D37" s="7"/>
      <c r="E37" s="7"/>
      <c r="F37" s="33" t="s">
        <v>9</v>
      </c>
      <c r="G37" s="33">
        <v>3.08</v>
      </c>
    </row>
    <row r="38" spans="2:7" ht="14.1" customHeight="1" x14ac:dyDescent="0.3">
      <c r="B38" s="4"/>
      <c r="C38" s="7"/>
      <c r="D38" s="7"/>
      <c r="E38" s="7"/>
      <c r="F38" s="7"/>
      <c r="G38" s="7"/>
    </row>
    <row r="39" spans="2:7" ht="14.1" customHeight="1" x14ac:dyDescent="0.3">
      <c r="B39" s="4">
        <v>7</v>
      </c>
      <c r="C39" s="7" t="s">
        <v>139</v>
      </c>
      <c r="D39" s="60">
        <v>1</v>
      </c>
      <c r="E39" s="7">
        <v>3.08</v>
      </c>
      <c r="F39" s="7"/>
      <c r="G39" s="7">
        <v>3.08</v>
      </c>
    </row>
    <row r="40" spans="2:7" ht="14.1" customHeight="1" x14ac:dyDescent="0.3">
      <c r="B40" s="4"/>
      <c r="C40" s="7"/>
      <c r="D40" s="7"/>
      <c r="E40" s="7"/>
      <c r="F40" s="33" t="s">
        <v>9</v>
      </c>
      <c r="G40" s="33">
        <v>3.08</v>
      </c>
    </row>
    <row r="41" spans="2:7" ht="14.1" customHeight="1" x14ac:dyDescent="0.3">
      <c r="B41" s="4"/>
      <c r="C41" s="7"/>
      <c r="D41" s="7"/>
      <c r="E41" s="7"/>
      <c r="F41" s="7"/>
      <c r="G41" s="7"/>
    </row>
    <row r="42" spans="2:7" ht="14.1" customHeight="1" x14ac:dyDescent="0.3">
      <c r="B42" s="4">
        <v>8</v>
      </c>
      <c r="C42" s="7" t="s">
        <v>140</v>
      </c>
      <c r="D42" s="60">
        <v>2</v>
      </c>
      <c r="E42" s="7">
        <v>3.08</v>
      </c>
      <c r="F42" s="7"/>
      <c r="G42" s="7">
        <v>6.16</v>
      </c>
    </row>
    <row r="43" spans="2:7" ht="14.1" customHeight="1" x14ac:dyDescent="0.3">
      <c r="B43" s="4"/>
      <c r="C43" s="7"/>
      <c r="D43" s="7"/>
      <c r="E43" s="7"/>
      <c r="F43" s="33" t="s">
        <v>9</v>
      </c>
      <c r="G43" s="7">
        <v>6.16</v>
      </c>
    </row>
    <row r="44" spans="2:7" ht="14.1" customHeight="1" x14ac:dyDescent="0.3">
      <c r="B44" s="4"/>
      <c r="C44" s="7"/>
      <c r="D44" s="7"/>
      <c r="E44" s="7"/>
      <c r="F44" s="7"/>
      <c r="G44" s="7"/>
    </row>
    <row r="45" spans="2:7" ht="14.1" customHeight="1" x14ac:dyDescent="0.3">
      <c r="B45" s="4">
        <v>9</v>
      </c>
      <c r="C45" s="7" t="s">
        <v>141</v>
      </c>
      <c r="D45" s="60">
        <v>1</v>
      </c>
      <c r="E45" s="6">
        <v>9.33</v>
      </c>
      <c r="F45" s="7"/>
      <c r="G45" s="6">
        <v>9.33</v>
      </c>
    </row>
    <row r="46" spans="2:7" ht="14.1" customHeight="1" x14ac:dyDescent="0.3">
      <c r="B46" s="4"/>
      <c r="C46" s="4"/>
      <c r="D46" s="60">
        <v>1</v>
      </c>
      <c r="E46" s="6">
        <v>15</v>
      </c>
      <c r="F46" s="7"/>
      <c r="G46" s="6">
        <v>15</v>
      </c>
    </row>
    <row r="47" spans="2:7" ht="14.1" customHeight="1" x14ac:dyDescent="0.3">
      <c r="B47" s="4"/>
      <c r="C47" s="4"/>
      <c r="D47" s="60">
        <v>1</v>
      </c>
      <c r="E47" s="6">
        <v>12.25</v>
      </c>
      <c r="F47" s="5"/>
      <c r="G47" s="6">
        <v>12.25</v>
      </c>
    </row>
    <row r="48" spans="2:7" ht="14.1" customHeight="1" x14ac:dyDescent="0.3">
      <c r="B48" s="4"/>
      <c r="C48" s="4"/>
      <c r="D48" s="60">
        <v>1</v>
      </c>
      <c r="E48" s="6">
        <v>3.83</v>
      </c>
      <c r="F48" s="5"/>
      <c r="G48" s="6">
        <v>3.83</v>
      </c>
    </row>
    <row r="49" spans="2:9" ht="14.1" customHeight="1" x14ac:dyDescent="0.3">
      <c r="B49" s="4"/>
      <c r="C49" s="4"/>
      <c r="D49" s="60">
        <v>1</v>
      </c>
      <c r="E49" s="6">
        <v>4.33</v>
      </c>
      <c r="F49" s="2"/>
      <c r="G49" s="6">
        <v>4.33</v>
      </c>
    </row>
    <row r="50" spans="2:9" ht="14.1" customHeight="1" x14ac:dyDescent="0.3">
      <c r="B50" s="4"/>
      <c r="C50" s="4"/>
      <c r="D50" s="60">
        <v>1</v>
      </c>
      <c r="E50" s="6">
        <v>13.66</v>
      </c>
      <c r="F50" s="5"/>
      <c r="G50" s="6">
        <v>13.66</v>
      </c>
    </row>
    <row r="51" spans="2:9" ht="14.1" customHeight="1" x14ac:dyDescent="0.3">
      <c r="B51" s="4"/>
      <c r="C51" s="4"/>
      <c r="D51" s="60">
        <v>1</v>
      </c>
      <c r="E51" s="6">
        <v>8.16</v>
      </c>
      <c r="F51" s="5"/>
      <c r="G51" s="6">
        <v>8.16</v>
      </c>
    </row>
    <row r="52" spans="2:9" ht="14.1" customHeight="1" x14ac:dyDescent="0.3">
      <c r="B52" s="4"/>
      <c r="C52" s="4"/>
      <c r="D52" s="60">
        <v>1</v>
      </c>
      <c r="E52" s="6">
        <v>15</v>
      </c>
      <c r="F52" s="5"/>
      <c r="G52" s="6">
        <v>15</v>
      </c>
    </row>
    <row r="53" spans="2:9" ht="14.1" customHeight="1" x14ac:dyDescent="0.3">
      <c r="B53" s="4"/>
      <c r="C53" s="4"/>
      <c r="D53" s="60">
        <v>1</v>
      </c>
      <c r="E53" s="6">
        <v>10</v>
      </c>
      <c r="F53" s="5"/>
      <c r="G53" s="6">
        <v>10</v>
      </c>
      <c r="I53" s="8"/>
    </row>
    <row r="54" spans="2:9" ht="14.1" customHeight="1" x14ac:dyDescent="0.3">
      <c r="B54" s="4"/>
      <c r="C54" s="4"/>
      <c r="D54" s="4"/>
      <c r="E54" s="5"/>
      <c r="F54" s="2" t="s">
        <v>9</v>
      </c>
      <c r="G54" s="16">
        <f>SUM(G45:G53)</f>
        <v>91.559999999999988</v>
      </c>
      <c r="I54" s="8"/>
    </row>
    <row r="55" spans="2:9" ht="14.1" customHeight="1" x14ac:dyDescent="0.3">
      <c r="B55" s="4"/>
      <c r="C55" s="4"/>
      <c r="D55" s="4"/>
      <c r="E55" s="5"/>
      <c r="F55" s="5"/>
      <c r="G55" s="6"/>
      <c r="I55" s="8"/>
    </row>
    <row r="56" spans="2:9" ht="14.1" customHeight="1" x14ac:dyDescent="0.3">
      <c r="B56" s="4">
        <v>10</v>
      </c>
      <c r="C56" s="7" t="s">
        <v>136</v>
      </c>
      <c r="D56" s="4"/>
      <c r="E56" s="5"/>
      <c r="F56" s="2"/>
      <c r="G56" s="5"/>
    </row>
    <row r="57" spans="2:9" ht="14.1" customHeight="1" x14ac:dyDescent="0.3">
      <c r="B57" s="4"/>
      <c r="C57" s="7" t="s">
        <v>11</v>
      </c>
      <c r="D57" s="4"/>
      <c r="E57" s="5"/>
      <c r="F57" s="2" t="s">
        <v>9</v>
      </c>
      <c r="G57" s="2">
        <v>91.56</v>
      </c>
    </row>
    <row r="58" spans="2:9" ht="14.1" customHeight="1" x14ac:dyDescent="0.3">
      <c r="B58" s="4"/>
      <c r="C58" s="7"/>
      <c r="D58" s="7"/>
      <c r="E58" s="7"/>
      <c r="F58" s="7"/>
      <c r="G58" s="7"/>
    </row>
    <row r="59" spans="2:9" ht="14.1" customHeight="1" x14ac:dyDescent="0.3">
      <c r="B59" s="4">
        <v>11</v>
      </c>
      <c r="C59" s="61" t="s">
        <v>149</v>
      </c>
      <c r="D59" s="4"/>
      <c r="E59" s="4"/>
      <c r="F59" s="4"/>
      <c r="G59" s="4"/>
    </row>
    <row r="60" spans="2:9" ht="14.1" customHeight="1" x14ac:dyDescent="0.3">
      <c r="B60" s="4"/>
      <c r="C60" s="7" t="s">
        <v>11</v>
      </c>
      <c r="D60" s="4"/>
      <c r="E60" s="4"/>
      <c r="F60" s="2" t="s">
        <v>9</v>
      </c>
      <c r="G60" s="2">
        <v>91.56</v>
      </c>
    </row>
    <row r="61" spans="2:9" ht="14.1" customHeight="1" x14ac:dyDescent="0.3">
      <c r="B61" s="4"/>
      <c r="C61" s="7"/>
      <c r="D61" s="7"/>
      <c r="E61" s="7"/>
      <c r="F61" s="7"/>
      <c r="G61" s="7"/>
    </row>
    <row r="62" spans="2:9" ht="14.1" customHeight="1" x14ac:dyDescent="0.3">
      <c r="B62" s="4">
        <v>12</v>
      </c>
      <c r="C62" s="7" t="s">
        <v>142</v>
      </c>
      <c r="D62" s="60">
        <v>11</v>
      </c>
      <c r="E62" s="7">
        <v>0.25</v>
      </c>
      <c r="F62" s="7"/>
      <c r="G62" s="7">
        <v>2.75</v>
      </c>
    </row>
    <row r="63" spans="2:9" ht="14.1" customHeight="1" x14ac:dyDescent="0.3">
      <c r="B63" s="4"/>
      <c r="C63" s="7"/>
      <c r="D63" s="7"/>
      <c r="E63" s="7"/>
      <c r="F63" s="33" t="s">
        <v>49</v>
      </c>
      <c r="G63" s="33">
        <v>2.75</v>
      </c>
    </row>
    <row r="64" spans="2:9" ht="14.1" customHeight="1" x14ac:dyDescent="0.3">
      <c r="B64" s="4"/>
      <c r="C64" s="7"/>
      <c r="D64" s="7"/>
      <c r="E64" s="7"/>
      <c r="F64" s="7"/>
      <c r="G64" s="7"/>
    </row>
    <row r="65" spans="2:7" ht="14.1" customHeight="1" x14ac:dyDescent="0.3">
      <c r="B65" s="4">
        <v>13</v>
      </c>
      <c r="C65" s="15" t="s">
        <v>133</v>
      </c>
      <c r="D65" s="60">
        <v>1</v>
      </c>
      <c r="E65" s="7">
        <v>4.33</v>
      </c>
      <c r="F65" s="7">
        <v>1.25</v>
      </c>
      <c r="G65" s="7">
        <v>5.4</v>
      </c>
    </row>
    <row r="66" spans="2:7" ht="14.1" customHeight="1" x14ac:dyDescent="0.3">
      <c r="B66" s="4"/>
      <c r="C66" s="15"/>
      <c r="D66" s="60">
        <v>1</v>
      </c>
      <c r="E66" s="7">
        <v>4.33</v>
      </c>
      <c r="F66" s="7">
        <v>1</v>
      </c>
      <c r="G66" s="7">
        <v>4.33</v>
      </c>
    </row>
    <row r="67" spans="2:7" ht="14.1" customHeight="1" x14ac:dyDescent="0.3">
      <c r="B67" s="4"/>
      <c r="C67" s="7"/>
      <c r="D67" s="4"/>
      <c r="E67" s="5"/>
      <c r="F67" s="2" t="s">
        <v>9</v>
      </c>
      <c r="G67" s="16">
        <v>9.73</v>
      </c>
    </row>
    <row r="68" spans="2:7" ht="14.1" customHeight="1" x14ac:dyDescent="0.3">
      <c r="B68" s="4"/>
      <c r="C68" s="7"/>
      <c r="D68" s="60"/>
      <c r="E68" s="7"/>
      <c r="F68" s="7"/>
      <c r="G68" s="7"/>
    </row>
    <row r="69" spans="2:7" ht="14.1" customHeight="1" x14ac:dyDescent="0.3">
      <c r="B69" s="4">
        <f>+B65+1</f>
        <v>14</v>
      </c>
      <c r="C69" s="7" t="s">
        <v>136</v>
      </c>
      <c r="D69" s="4"/>
      <c r="E69" s="5"/>
      <c r="F69" s="2"/>
      <c r="G69" s="5"/>
    </row>
    <row r="70" spans="2:7" ht="14.1" customHeight="1" x14ac:dyDescent="0.3">
      <c r="B70" s="4"/>
      <c r="C70" s="7" t="s">
        <v>11</v>
      </c>
      <c r="D70" s="4"/>
      <c r="E70" s="5"/>
      <c r="F70" s="2" t="s">
        <v>9</v>
      </c>
      <c r="G70" s="16">
        <v>9.73</v>
      </c>
    </row>
    <row r="71" spans="2:7" ht="14.1" customHeight="1" x14ac:dyDescent="0.3">
      <c r="B71" s="4"/>
      <c r="C71" s="7"/>
      <c r="D71" s="60"/>
      <c r="E71" s="7"/>
      <c r="F71" s="7"/>
      <c r="G71" s="7"/>
    </row>
    <row r="72" spans="2:7" ht="14.1" customHeight="1" x14ac:dyDescent="0.3">
      <c r="B72" s="4">
        <v>15</v>
      </c>
      <c r="C72" s="61" t="s">
        <v>149</v>
      </c>
      <c r="D72" s="4"/>
      <c r="E72" s="4"/>
      <c r="F72" s="4"/>
      <c r="G72" s="4"/>
    </row>
    <row r="73" spans="2:7" ht="14.1" customHeight="1" x14ac:dyDescent="0.3">
      <c r="B73" s="4"/>
      <c r="C73" s="7" t="s">
        <v>11</v>
      </c>
      <c r="D73" s="4"/>
      <c r="E73" s="4"/>
      <c r="F73" s="2" t="s">
        <v>9</v>
      </c>
      <c r="G73" s="16">
        <v>9.73</v>
      </c>
    </row>
    <row r="74" spans="2:7" ht="14.1" customHeight="1" x14ac:dyDescent="0.3">
      <c r="B74" s="4"/>
      <c r="C74" s="7"/>
      <c r="D74" s="60"/>
      <c r="E74" s="7"/>
      <c r="F74" s="7"/>
      <c r="G74" s="7"/>
    </row>
    <row r="75" spans="2:7" ht="14.1" customHeight="1" x14ac:dyDescent="0.3">
      <c r="B75" s="4">
        <v>16</v>
      </c>
      <c r="C75" s="7" t="s">
        <v>143</v>
      </c>
      <c r="D75" s="60">
        <v>2</v>
      </c>
      <c r="E75" s="7">
        <v>4.33</v>
      </c>
      <c r="F75" s="7">
        <v>1.25</v>
      </c>
      <c r="G75" s="7">
        <v>10.82</v>
      </c>
    </row>
    <row r="76" spans="2:7" ht="14.1" customHeight="1" x14ac:dyDescent="0.3">
      <c r="B76" s="4"/>
      <c r="C76" s="7"/>
      <c r="D76" s="7"/>
      <c r="E76" s="7"/>
      <c r="F76" s="33" t="s">
        <v>9</v>
      </c>
      <c r="G76" s="33">
        <v>10.82</v>
      </c>
    </row>
    <row r="77" spans="2:7" ht="14.1" customHeight="1" x14ac:dyDescent="0.3">
      <c r="B77" s="4"/>
      <c r="C77" s="7"/>
      <c r="D77" s="7"/>
      <c r="E77" s="7"/>
      <c r="F77" s="7"/>
      <c r="G77" s="7"/>
    </row>
    <row r="78" spans="2:7" ht="14.1" customHeight="1" x14ac:dyDescent="0.3">
      <c r="B78" s="4">
        <v>17</v>
      </c>
      <c r="C78" s="7" t="s">
        <v>45</v>
      </c>
      <c r="D78" s="60">
        <v>2</v>
      </c>
      <c r="E78" s="7">
        <v>4.33</v>
      </c>
      <c r="F78" s="7"/>
      <c r="G78" s="7">
        <v>8.66</v>
      </c>
    </row>
    <row r="79" spans="2:7" ht="14.1" customHeight="1" x14ac:dyDescent="0.3">
      <c r="B79" s="4"/>
      <c r="C79" s="7"/>
      <c r="D79" s="60"/>
      <c r="E79" s="7"/>
      <c r="F79" s="33" t="s">
        <v>9</v>
      </c>
      <c r="G79" s="33">
        <v>8.66</v>
      </c>
    </row>
    <row r="80" spans="2:7" ht="14.1" customHeight="1" x14ac:dyDescent="0.3">
      <c r="B80" s="4"/>
      <c r="C80" s="7"/>
      <c r="D80" s="60"/>
      <c r="E80" s="7"/>
      <c r="F80" s="7"/>
      <c r="G80" s="7"/>
    </row>
    <row r="81" spans="2:7" ht="14.1" customHeight="1" x14ac:dyDescent="0.3">
      <c r="B81" s="4">
        <v>18</v>
      </c>
      <c r="C81" s="7" t="s">
        <v>141</v>
      </c>
      <c r="D81" s="60">
        <v>1</v>
      </c>
      <c r="E81" s="7">
        <v>6.25</v>
      </c>
      <c r="F81" s="7"/>
      <c r="G81" s="7">
        <v>6.25</v>
      </c>
    </row>
    <row r="82" spans="2:7" ht="14.1" customHeight="1" x14ac:dyDescent="0.3">
      <c r="B82" s="4"/>
      <c r="C82" s="7"/>
      <c r="D82" s="60">
        <v>1</v>
      </c>
      <c r="E82" s="7">
        <v>16.66</v>
      </c>
      <c r="F82" s="7"/>
      <c r="G82" s="7">
        <v>16.66</v>
      </c>
    </row>
    <row r="83" spans="2:7" ht="14.1" customHeight="1" x14ac:dyDescent="0.3">
      <c r="B83" s="4"/>
      <c r="C83" s="7"/>
      <c r="D83" s="60">
        <v>1</v>
      </c>
      <c r="E83" s="7">
        <v>8.25</v>
      </c>
      <c r="F83" s="7"/>
      <c r="G83" s="7">
        <v>8.25</v>
      </c>
    </row>
    <row r="84" spans="2:7" ht="14.1" customHeight="1" x14ac:dyDescent="0.3">
      <c r="B84" s="4"/>
      <c r="C84" s="7"/>
      <c r="D84" s="60">
        <v>1</v>
      </c>
      <c r="E84" s="7">
        <v>7.66</v>
      </c>
      <c r="F84" s="7"/>
      <c r="G84" s="7">
        <v>7.66</v>
      </c>
    </row>
    <row r="85" spans="2:7" ht="14.1" customHeight="1" x14ac:dyDescent="0.3">
      <c r="B85" s="4"/>
      <c r="C85" s="7"/>
      <c r="D85" s="60">
        <v>2</v>
      </c>
      <c r="E85" s="7">
        <v>2.66</v>
      </c>
      <c r="F85" s="7"/>
      <c r="G85" s="7">
        <v>5.33</v>
      </c>
    </row>
    <row r="86" spans="2:7" ht="14.1" customHeight="1" x14ac:dyDescent="0.3">
      <c r="B86" s="4"/>
      <c r="C86" s="7"/>
      <c r="D86" s="60"/>
      <c r="E86" s="7"/>
      <c r="F86" s="33" t="s">
        <v>9</v>
      </c>
      <c r="G86" s="7">
        <f>SUM(G81:G85)</f>
        <v>44.15</v>
      </c>
    </row>
    <row r="87" spans="2:7" ht="14.1" customHeight="1" x14ac:dyDescent="0.3">
      <c r="B87" s="4"/>
      <c r="C87" s="7"/>
      <c r="D87" s="60"/>
      <c r="E87" s="7"/>
      <c r="F87" s="7"/>
      <c r="G87" s="7"/>
    </row>
    <row r="88" spans="2:7" ht="14.1" customHeight="1" x14ac:dyDescent="0.3">
      <c r="B88" s="4">
        <v>19</v>
      </c>
      <c r="C88" s="7" t="s">
        <v>136</v>
      </c>
      <c r="D88" s="4"/>
      <c r="E88" s="5"/>
      <c r="F88" s="2"/>
      <c r="G88" s="5"/>
    </row>
    <row r="89" spans="2:7" ht="14.1" customHeight="1" x14ac:dyDescent="0.3">
      <c r="B89" s="4"/>
      <c r="C89" s="7" t="s">
        <v>11</v>
      </c>
      <c r="D89" s="4"/>
      <c r="E89" s="5"/>
      <c r="F89" s="2" t="s">
        <v>9</v>
      </c>
      <c r="G89" s="16">
        <v>38.82</v>
      </c>
    </row>
    <row r="90" spans="2:7" ht="14.1" customHeight="1" x14ac:dyDescent="0.3">
      <c r="B90" s="4"/>
      <c r="C90" s="7"/>
      <c r="D90" s="60"/>
      <c r="E90" s="7"/>
      <c r="F90" s="7"/>
      <c r="G90" s="7"/>
    </row>
    <row r="91" spans="2:7" ht="14.1" customHeight="1" x14ac:dyDescent="0.3">
      <c r="B91" s="4">
        <v>20</v>
      </c>
      <c r="C91" s="61" t="s">
        <v>149</v>
      </c>
      <c r="D91" s="4"/>
      <c r="E91" s="4"/>
      <c r="F91" s="4"/>
      <c r="G91" s="4"/>
    </row>
    <row r="92" spans="2:7" ht="14.1" customHeight="1" x14ac:dyDescent="0.3">
      <c r="B92" s="4"/>
      <c r="C92" s="7" t="s">
        <v>11</v>
      </c>
      <c r="D92" s="4"/>
      <c r="E92" s="4"/>
      <c r="F92" s="2" t="s">
        <v>9</v>
      </c>
      <c r="G92" s="16">
        <v>38.82</v>
      </c>
    </row>
    <row r="93" spans="2:7" ht="14.1" customHeight="1" x14ac:dyDescent="0.3">
      <c r="B93" s="4"/>
      <c r="C93" s="7"/>
      <c r="D93" s="60"/>
      <c r="E93" s="7"/>
      <c r="F93" s="7"/>
      <c r="G93" s="7"/>
    </row>
    <row r="94" spans="2:7" ht="14.1" customHeight="1" x14ac:dyDescent="0.3">
      <c r="B94" s="4">
        <v>21</v>
      </c>
      <c r="C94" s="7" t="s">
        <v>142</v>
      </c>
      <c r="D94" s="60">
        <v>8</v>
      </c>
      <c r="E94" s="7">
        <v>0.25</v>
      </c>
      <c r="F94" s="7"/>
      <c r="G94" s="7">
        <v>2</v>
      </c>
    </row>
    <row r="95" spans="2:7" ht="14.1" customHeight="1" x14ac:dyDescent="0.3">
      <c r="B95" s="4"/>
      <c r="C95" s="7"/>
      <c r="D95" s="7"/>
      <c r="E95" s="7"/>
      <c r="F95" s="2" t="s">
        <v>9</v>
      </c>
      <c r="G95" s="7">
        <v>2</v>
      </c>
    </row>
    <row r="96" spans="2:7" ht="14.1" customHeight="1" x14ac:dyDescent="0.3">
      <c r="B96" s="4"/>
      <c r="C96" s="7"/>
      <c r="D96" s="7"/>
      <c r="E96" s="7"/>
      <c r="F96" s="7"/>
      <c r="G96" s="7"/>
    </row>
    <row r="97" spans="2:7" ht="14.1" customHeight="1" x14ac:dyDescent="0.3">
      <c r="B97" s="4">
        <v>22</v>
      </c>
      <c r="C97" s="7" t="s">
        <v>144</v>
      </c>
      <c r="D97" s="7"/>
      <c r="E97" s="7">
        <v>5.08</v>
      </c>
      <c r="F97" s="7">
        <v>1.25</v>
      </c>
      <c r="G97" s="7">
        <v>6.35</v>
      </c>
    </row>
    <row r="98" spans="2:7" ht="14.1" customHeight="1" x14ac:dyDescent="0.3">
      <c r="B98" s="4"/>
      <c r="C98" s="7"/>
      <c r="D98" s="7"/>
      <c r="E98" s="7">
        <v>7.5</v>
      </c>
      <c r="F98" s="6">
        <v>1.25</v>
      </c>
      <c r="G98" s="7">
        <v>9.3699999999999992</v>
      </c>
    </row>
    <row r="99" spans="2:7" ht="14.1" customHeight="1" x14ac:dyDescent="0.3">
      <c r="B99" s="4"/>
      <c r="C99" s="7"/>
      <c r="D99" s="7"/>
      <c r="E99" s="7">
        <v>2.25</v>
      </c>
      <c r="F99" s="7">
        <v>5</v>
      </c>
      <c r="G99" s="7">
        <v>11.25</v>
      </c>
    </row>
    <row r="100" spans="2:7" ht="14.1" customHeight="1" x14ac:dyDescent="0.3">
      <c r="B100" s="4"/>
      <c r="C100" s="7"/>
      <c r="D100" s="7"/>
      <c r="E100" s="7"/>
      <c r="F100" s="2" t="s">
        <v>9</v>
      </c>
      <c r="G100" s="7">
        <v>26.97</v>
      </c>
    </row>
    <row r="101" spans="2:7" ht="14.1" customHeight="1" x14ac:dyDescent="0.3">
      <c r="B101" s="4"/>
      <c r="C101" s="7"/>
      <c r="D101" s="7"/>
      <c r="E101" s="7"/>
      <c r="F101" s="7"/>
      <c r="G101" s="7"/>
    </row>
    <row r="102" spans="2:7" ht="14.1" customHeight="1" x14ac:dyDescent="0.3">
      <c r="B102" s="4">
        <v>23</v>
      </c>
      <c r="C102" s="7" t="s">
        <v>45</v>
      </c>
      <c r="D102" s="7"/>
      <c r="E102" s="7">
        <v>7.58</v>
      </c>
      <c r="F102" s="7"/>
      <c r="G102" s="7">
        <v>7.58</v>
      </c>
    </row>
    <row r="103" spans="2:7" ht="14.1" customHeight="1" x14ac:dyDescent="0.3">
      <c r="B103" s="4"/>
      <c r="C103" s="7"/>
      <c r="D103" s="7"/>
      <c r="E103" s="7">
        <v>10</v>
      </c>
      <c r="F103" s="7"/>
      <c r="G103" s="7">
        <v>10</v>
      </c>
    </row>
    <row r="104" spans="2:7" ht="14.1" customHeight="1" x14ac:dyDescent="0.3">
      <c r="B104" s="4"/>
      <c r="C104" s="7"/>
      <c r="D104" s="7"/>
      <c r="E104" s="7">
        <v>2.25</v>
      </c>
      <c r="F104" s="7"/>
      <c r="G104" s="7">
        <v>2.25</v>
      </c>
    </row>
    <row r="105" spans="2:7" ht="14.1" customHeight="1" x14ac:dyDescent="0.3">
      <c r="B105" s="4"/>
      <c r="C105" s="7"/>
      <c r="D105" s="7"/>
      <c r="E105" s="7">
        <v>3.25</v>
      </c>
      <c r="F105" s="7"/>
      <c r="G105" s="7">
        <v>3.25</v>
      </c>
    </row>
    <row r="106" spans="2:7" ht="14.1" customHeight="1" x14ac:dyDescent="0.3">
      <c r="B106" s="4"/>
      <c r="C106" s="7"/>
      <c r="D106" s="7"/>
      <c r="E106" s="7"/>
      <c r="F106" s="16" t="s">
        <v>9</v>
      </c>
      <c r="G106" s="33">
        <v>23.08</v>
      </c>
    </row>
    <row r="107" spans="2:7" ht="14.1" customHeight="1" x14ac:dyDescent="0.3">
      <c r="B107" s="4"/>
      <c r="C107" s="7"/>
      <c r="D107" s="7"/>
      <c r="E107" s="7"/>
      <c r="F107" s="7"/>
      <c r="G107" s="7"/>
    </row>
    <row r="108" spans="2:7" ht="14.1" customHeight="1" x14ac:dyDescent="0.3">
      <c r="B108" s="4">
        <v>24</v>
      </c>
      <c r="C108" s="7" t="s">
        <v>142</v>
      </c>
      <c r="D108" s="7">
        <v>1</v>
      </c>
      <c r="E108" s="7">
        <v>2.66</v>
      </c>
      <c r="F108" s="7"/>
      <c r="G108" s="7"/>
    </row>
    <row r="109" spans="2:7" ht="14.1" customHeight="1" x14ac:dyDescent="0.3">
      <c r="B109" s="4"/>
      <c r="C109" s="7"/>
      <c r="D109" s="7">
        <v>2</v>
      </c>
      <c r="E109" s="7">
        <v>2.25</v>
      </c>
      <c r="F109" s="7"/>
      <c r="G109" s="7"/>
    </row>
    <row r="110" spans="2:7" ht="14.1" customHeight="1" x14ac:dyDescent="0.3">
      <c r="B110" s="4"/>
      <c r="C110" s="7"/>
      <c r="D110" s="7"/>
      <c r="E110" s="7"/>
      <c r="F110" s="16" t="s">
        <v>9</v>
      </c>
      <c r="G110" s="7"/>
    </row>
    <row r="111" spans="2:7" ht="14.1" customHeight="1" x14ac:dyDescent="0.3">
      <c r="B111" s="4"/>
      <c r="C111" s="7"/>
      <c r="D111" s="7"/>
      <c r="E111" s="7"/>
      <c r="F111" s="7"/>
      <c r="G111" s="7"/>
    </row>
    <row r="112" spans="2:7" ht="14.1" customHeight="1" x14ac:dyDescent="0.3">
      <c r="B112" s="4">
        <v>25</v>
      </c>
      <c r="C112" s="7" t="s">
        <v>145</v>
      </c>
      <c r="D112" s="7"/>
      <c r="E112" s="7"/>
      <c r="F112" s="7"/>
      <c r="G112" s="7"/>
    </row>
    <row r="113" spans="2:7" ht="14.1" customHeight="1" x14ac:dyDescent="0.3">
      <c r="B113" s="4"/>
      <c r="C113" s="7" t="s">
        <v>146</v>
      </c>
      <c r="D113" s="7">
        <v>1</v>
      </c>
      <c r="E113" s="7"/>
      <c r="F113" s="7"/>
      <c r="G113" s="7"/>
    </row>
    <row r="114" spans="2:7" ht="14.1" customHeight="1" x14ac:dyDescent="0.3">
      <c r="B114" s="4"/>
      <c r="C114" s="7"/>
      <c r="D114" s="7"/>
      <c r="E114" s="7"/>
      <c r="F114" s="7"/>
      <c r="G114" s="7"/>
    </row>
    <row r="115" spans="2:7" ht="14.1" customHeight="1" x14ac:dyDescent="0.3">
      <c r="B115" s="4">
        <v>26</v>
      </c>
      <c r="C115" s="7" t="s">
        <v>147</v>
      </c>
      <c r="D115" s="7">
        <v>1</v>
      </c>
      <c r="E115" s="7"/>
      <c r="F115" s="7"/>
      <c r="G115" s="7"/>
    </row>
    <row r="116" spans="2:7" ht="14.1" customHeight="1" x14ac:dyDescent="0.3">
      <c r="B116" s="4"/>
      <c r="C116" s="7"/>
      <c r="D116" s="7"/>
      <c r="E116" s="7"/>
      <c r="F116" s="7"/>
      <c r="G116" s="7"/>
    </row>
    <row r="117" spans="2:7" ht="14.1" customHeight="1" x14ac:dyDescent="0.3">
      <c r="B117" s="4">
        <v>27</v>
      </c>
      <c r="C117" s="7" t="s">
        <v>148</v>
      </c>
      <c r="D117" s="7"/>
      <c r="E117" s="7">
        <v>6.83</v>
      </c>
      <c r="F117" s="7">
        <v>2.75</v>
      </c>
      <c r="G117" s="7">
        <v>18.78</v>
      </c>
    </row>
    <row r="118" spans="2:7" ht="14.1" customHeight="1" x14ac:dyDescent="0.3">
      <c r="B118" s="4"/>
      <c r="C118" s="7"/>
      <c r="D118" s="7"/>
      <c r="E118" s="7"/>
      <c r="F118" s="7" t="s">
        <v>9</v>
      </c>
      <c r="G118" s="7">
        <v>18.78</v>
      </c>
    </row>
    <row r="119" spans="2:7" ht="14.1" customHeight="1" x14ac:dyDescent="0.3">
      <c r="B119" s="4"/>
      <c r="C119" s="7"/>
      <c r="D119" s="7"/>
      <c r="E119" s="7"/>
      <c r="F119" s="7"/>
      <c r="G119" s="7"/>
    </row>
    <row r="120" spans="2:7" ht="14.1" customHeight="1" x14ac:dyDescent="0.3">
      <c r="B120" s="4">
        <v>28</v>
      </c>
      <c r="C120" s="7" t="s">
        <v>136</v>
      </c>
      <c r="D120" s="4"/>
      <c r="E120" s="5"/>
      <c r="F120" s="2"/>
      <c r="G120" s="5"/>
    </row>
    <row r="121" spans="2:7" ht="14.1" customHeight="1" x14ac:dyDescent="0.3">
      <c r="B121" s="4"/>
      <c r="C121" s="7" t="s">
        <v>11</v>
      </c>
      <c r="D121" s="4"/>
      <c r="E121" s="5"/>
      <c r="F121" s="2" t="s">
        <v>9</v>
      </c>
      <c r="G121" s="16">
        <v>18.78</v>
      </c>
    </row>
    <row r="122" spans="2:7" ht="14.1" customHeight="1" x14ac:dyDescent="0.3">
      <c r="B122" s="4"/>
      <c r="C122" s="4"/>
      <c r="D122" s="4"/>
      <c r="E122" s="4"/>
      <c r="F122" s="4"/>
      <c r="G122" s="4"/>
    </row>
    <row r="123" spans="2:7" ht="14.1" customHeight="1" x14ac:dyDescent="0.3">
      <c r="B123" s="4">
        <v>29</v>
      </c>
      <c r="C123" s="61" t="s">
        <v>149</v>
      </c>
      <c r="D123" s="4"/>
      <c r="E123" s="4"/>
      <c r="F123" s="4"/>
      <c r="G123" s="4"/>
    </row>
    <row r="124" spans="2:7" ht="14.1" customHeight="1" x14ac:dyDescent="0.3">
      <c r="B124" s="4"/>
      <c r="C124" s="7" t="s">
        <v>11</v>
      </c>
      <c r="D124" s="4"/>
      <c r="E124" s="4"/>
      <c r="F124" s="2" t="s">
        <v>9</v>
      </c>
      <c r="G124" s="16">
        <v>18.78</v>
      </c>
    </row>
    <row r="125" spans="2:7" ht="14.1" customHeight="1" x14ac:dyDescent="0.3">
      <c r="B125" s="4"/>
      <c r="C125" s="4"/>
      <c r="D125" s="4"/>
      <c r="E125" s="4"/>
      <c r="F125" s="4"/>
      <c r="G125" s="4"/>
    </row>
    <row r="126" spans="2:7" ht="14.1" customHeight="1" x14ac:dyDescent="0.3">
      <c r="B126" s="4">
        <v>30</v>
      </c>
      <c r="C126" s="15" t="s">
        <v>150</v>
      </c>
      <c r="D126" s="4"/>
      <c r="E126" s="4">
        <v>11.83</v>
      </c>
      <c r="F126" s="4">
        <v>8.91</v>
      </c>
      <c r="G126" s="4">
        <v>105.4</v>
      </c>
    </row>
    <row r="127" spans="2:7" ht="14.1" customHeight="1" x14ac:dyDescent="0.3">
      <c r="B127" s="4"/>
      <c r="C127" s="4" t="s">
        <v>151</v>
      </c>
      <c r="D127" s="4"/>
      <c r="E127" s="4"/>
      <c r="F127" s="2" t="s">
        <v>9</v>
      </c>
      <c r="G127" s="4">
        <v>105.4</v>
      </c>
    </row>
    <row r="128" spans="2:7" ht="14.1" customHeight="1" x14ac:dyDescent="0.3">
      <c r="B128" s="4"/>
      <c r="C128" s="4"/>
      <c r="D128" s="4"/>
      <c r="E128" s="4"/>
      <c r="F128" s="4"/>
      <c r="G128" s="4"/>
    </row>
    <row r="129" spans="2:7" ht="14.1" customHeight="1" x14ac:dyDescent="0.3">
      <c r="B129" s="4">
        <v>31</v>
      </c>
      <c r="C129" s="7" t="s">
        <v>136</v>
      </c>
      <c r="D129" s="4"/>
      <c r="E129" s="5"/>
      <c r="F129" s="2"/>
      <c r="G129" s="5"/>
    </row>
    <row r="130" spans="2:7" ht="14.1" customHeight="1" x14ac:dyDescent="0.3">
      <c r="B130" s="4"/>
      <c r="C130" s="7" t="s">
        <v>11</v>
      </c>
      <c r="D130" s="4"/>
      <c r="E130" s="5"/>
      <c r="F130" s="2" t="s">
        <v>9</v>
      </c>
      <c r="G130" s="4">
        <v>105.4</v>
      </c>
    </row>
    <row r="131" spans="2:7" ht="14.1" customHeight="1" x14ac:dyDescent="0.3">
      <c r="B131" s="4"/>
      <c r="C131" s="4"/>
      <c r="D131" s="4"/>
      <c r="E131" s="4"/>
      <c r="F131" s="4"/>
      <c r="G131" s="4"/>
    </row>
    <row r="132" spans="2:7" ht="14.1" customHeight="1" x14ac:dyDescent="0.3">
      <c r="B132" s="4">
        <v>32</v>
      </c>
      <c r="C132" s="61" t="s">
        <v>149</v>
      </c>
      <c r="D132" s="4"/>
      <c r="E132" s="4"/>
      <c r="F132" s="4"/>
      <c r="G132" s="4"/>
    </row>
    <row r="133" spans="2:7" ht="14.1" customHeight="1" x14ac:dyDescent="0.3">
      <c r="B133" s="4"/>
      <c r="C133" s="7" t="s">
        <v>11</v>
      </c>
      <c r="D133" s="4"/>
      <c r="E133" s="4"/>
      <c r="F133" s="2" t="s">
        <v>9</v>
      </c>
      <c r="G133" s="4">
        <v>105.4</v>
      </c>
    </row>
    <row r="134" spans="2:7" ht="14.1" customHeight="1" x14ac:dyDescent="0.3">
      <c r="B134" s="4"/>
      <c r="C134" s="4"/>
      <c r="D134" s="4"/>
      <c r="E134" s="4"/>
      <c r="F134" s="4"/>
      <c r="G134" s="4"/>
    </row>
    <row r="135" spans="2:7" ht="14.1" customHeight="1" x14ac:dyDescent="0.3">
      <c r="B135" s="4">
        <v>33</v>
      </c>
      <c r="C135" s="7" t="s">
        <v>135</v>
      </c>
      <c r="D135" s="4"/>
      <c r="E135" s="4"/>
      <c r="F135" s="4"/>
      <c r="G135" s="4"/>
    </row>
    <row r="136" spans="2:7" ht="14.1" customHeight="1" x14ac:dyDescent="0.3">
      <c r="B136" s="4"/>
      <c r="C136" s="7" t="s">
        <v>11</v>
      </c>
      <c r="D136" s="4"/>
      <c r="E136" s="4"/>
      <c r="F136" s="2" t="s">
        <v>9</v>
      </c>
      <c r="G136" s="4">
        <v>105.4</v>
      </c>
    </row>
    <row r="137" spans="2:7" ht="14.1" customHeight="1" x14ac:dyDescent="0.3">
      <c r="B137" s="4"/>
      <c r="C137" s="4"/>
      <c r="D137" s="4"/>
      <c r="E137" s="4"/>
      <c r="F137" s="4"/>
      <c r="G137" s="4"/>
    </row>
    <row r="138" spans="2:7" ht="14.1" customHeight="1" x14ac:dyDescent="0.3">
      <c r="B138" s="4">
        <v>34</v>
      </c>
      <c r="C138" s="7" t="s">
        <v>137</v>
      </c>
      <c r="D138" s="4"/>
      <c r="E138" s="4"/>
      <c r="F138" s="4"/>
      <c r="G138" s="4"/>
    </row>
    <row r="139" spans="2:7" ht="14.1" customHeight="1" x14ac:dyDescent="0.3">
      <c r="B139" s="4"/>
      <c r="C139" s="7" t="s">
        <v>11</v>
      </c>
      <c r="D139" s="4"/>
      <c r="E139" s="4"/>
      <c r="F139" s="2" t="s">
        <v>9</v>
      </c>
      <c r="G139" s="4">
        <v>105.4</v>
      </c>
    </row>
    <row r="140" spans="2:7" ht="14.1" customHeight="1" x14ac:dyDescent="0.3">
      <c r="B140" s="4"/>
      <c r="C140" s="4"/>
      <c r="D140" s="4"/>
      <c r="E140" s="4"/>
      <c r="F140" s="4"/>
      <c r="G140" s="4"/>
    </row>
    <row r="141" spans="2:7" ht="14.1" customHeight="1" x14ac:dyDescent="0.3">
      <c r="B141" s="4">
        <v>35</v>
      </c>
      <c r="C141" s="7" t="s">
        <v>139</v>
      </c>
      <c r="D141" s="4">
        <v>2</v>
      </c>
      <c r="E141" s="4">
        <v>11.83</v>
      </c>
      <c r="F141" s="4"/>
      <c r="G141" s="4">
        <v>23.66</v>
      </c>
    </row>
    <row r="142" spans="2:7" ht="14.1" customHeight="1" x14ac:dyDescent="0.3">
      <c r="B142" s="4"/>
      <c r="C142" s="4"/>
      <c r="D142" s="4"/>
      <c r="E142" s="4"/>
      <c r="F142" s="2" t="s">
        <v>9</v>
      </c>
      <c r="G142" s="4">
        <v>23.66</v>
      </c>
    </row>
    <row r="143" spans="2:7" ht="14.1" customHeight="1" x14ac:dyDescent="0.3">
      <c r="B143" s="4"/>
      <c r="C143" s="4"/>
      <c r="D143" s="4"/>
      <c r="E143" s="4"/>
      <c r="F143" s="4"/>
      <c r="G143" s="4"/>
    </row>
    <row r="144" spans="2:7" ht="14.1" customHeight="1" x14ac:dyDescent="0.3">
      <c r="B144" s="4">
        <v>35</v>
      </c>
      <c r="C144" s="15" t="s">
        <v>133</v>
      </c>
      <c r="D144" s="4"/>
      <c r="E144" s="4">
        <v>3.66</v>
      </c>
      <c r="F144" s="4">
        <v>4.33</v>
      </c>
      <c r="G144" s="4">
        <f>SUM(E144*F144)</f>
        <v>15.847800000000001</v>
      </c>
    </row>
    <row r="145" spans="2:7" ht="14.1" customHeight="1" x14ac:dyDescent="0.3">
      <c r="B145" s="4"/>
      <c r="C145" s="4" t="s">
        <v>152</v>
      </c>
      <c r="D145" s="4"/>
      <c r="E145" s="4">
        <v>14.33</v>
      </c>
      <c r="F145" s="4">
        <v>10.33</v>
      </c>
      <c r="G145" s="4">
        <f t="shared" ref="G145:G147" si="2">SUM(E145*F145)</f>
        <v>148.02889999999999</v>
      </c>
    </row>
    <row r="146" spans="2:7" ht="14.1" customHeight="1" x14ac:dyDescent="0.3">
      <c r="B146" s="4"/>
      <c r="C146" s="4"/>
      <c r="D146" s="4"/>
      <c r="E146" s="4">
        <v>2.41</v>
      </c>
      <c r="F146" s="4">
        <v>0.33</v>
      </c>
      <c r="G146" s="4">
        <f t="shared" si="2"/>
        <v>0.79530000000000012</v>
      </c>
    </row>
    <row r="147" spans="2:7" ht="14.1" customHeight="1" x14ac:dyDescent="0.3">
      <c r="B147" s="4"/>
      <c r="C147" s="4"/>
      <c r="D147" s="4"/>
      <c r="E147" s="4">
        <v>2.83</v>
      </c>
      <c r="F147" s="2">
        <v>0.75</v>
      </c>
      <c r="G147" s="4">
        <f t="shared" si="2"/>
        <v>2.1225000000000001</v>
      </c>
    </row>
    <row r="148" spans="2:7" ht="14.1" customHeight="1" x14ac:dyDescent="0.3">
      <c r="B148" s="4"/>
      <c r="C148" s="4"/>
      <c r="D148" s="4"/>
      <c r="E148" s="4"/>
      <c r="F148" s="2" t="s">
        <v>9</v>
      </c>
      <c r="G148" s="4">
        <f>SUM(G144:G147)</f>
        <v>166.7945</v>
      </c>
    </row>
    <row r="149" spans="2:7" ht="14.1" customHeight="1" x14ac:dyDescent="0.3">
      <c r="B149" s="4"/>
      <c r="C149" s="4"/>
      <c r="D149" s="4"/>
      <c r="E149" s="4"/>
      <c r="F149" s="4"/>
      <c r="G149" s="4"/>
    </row>
    <row r="150" spans="2:7" ht="14.1" customHeight="1" x14ac:dyDescent="0.3">
      <c r="B150" s="4">
        <v>36</v>
      </c>
      <c r="C150" s="7" t="s">
        <v>136</v>
      </c>
      <c r="D150" s="4"/>
      <c r="E150" s="5"/>
      <c r="F150" s="2"/>
      <c r="G150" s="5"/>
    </row>
    <row r="151" spans="2:7" ht="14.1" customHeight="1" x14ac:dyDescent="0.3">
      <c r="B151" s="4"/>
      <c r="C151" s="7" t="s">
        <v>11</v>
      </c>
      <c r="D151" s="4"/>
      <c r="E151" s="5"/>
      <c r="F151" s="2" t="s">
        <v>9</v>
      </c>
      <c r="G151" s="4">
        <v>166.79</v>
      </c>
    </row>
    <row r="152" spans="2:7" ht="14.1" customHeight="1" x14ac:dyDescent="0.3">
      <c r="B152" s="4"/>
      <c r="C152" s="4"/>
      <c r="D152" s="4"/>
      <c r="E152" s="4"/>
      <c r="F152" s="4"/>
      <c r="G152" s="4"/>
    </row>
    <row r="153" spans="2:7" ht="14.1" customHeight="1" x14ac:dyDescent="0.3">
      <c r="B153" s="4">
        <v>37</v>
      </c>
      <c r="C153" s="61" t="s">
        <v>149</v>
      </c>
      <c r="D153" s="4"/>
      <c r="E153" s="4"/>
      <c r="F153" s="4"/>
      <c r="G153" s="4"/>
    </row>
    <row r="154" spans="2:7" ht="14.1" customHeight="1" x14ac:dyDescent="0.3">
      <c r="B154" s="4"/>
      <c r="C154" s="7" t="s">
        <v>11</v>
      </c>
      <c r="D154" s="4"/>
      <c r="E154" s="4"/>
      <c r="F154" s="2" t="s">
        <v>9</v>
      </c>
      <c r="G154" s="4">
        <v>166.79</v>
      </c>
    </row>
    <row r="155" spans="2:7" ht="14.1" customHeight="1" x14ac:dyDescent="0.3">
      <c r="B155" s="4"/>
      <c r="C155" s="4"/>
      <c r="D155" s="4"/>
      <c r="E155" s="4"/>
      <c r="F155" s="4"/>
      <c r="G155" s="4"/>
    </row>
    <row r="156" spans="2:7" ht="14.1" customHeight="1" x14ac:dyDescent="0.3">
      <c r="B156" s="4">
        <v>38</v>
      </c>
      <c r="C156" s="7" t="s">
        <v>135</v>
      </c>
      <c r="D156" s="4"/>
      <c r="E156" s="4"/>
      <c r="F156" s="4"/>
      <c r="G156" s="4"/>
    </row>
    <row r="157" spans="2:7" ht="14.1" customHeight="1" x14ac:dyDescent="0.3">
      <c r="B157" s="4"/>
      <c r="C157" s="7" t="s">
        <v>11</v>
      </c>
      <c r="D157" s="4"/>
      <c r="E157" s="4"/>
      <c r="F157" s="2" t="s">
        <v>9</v>
      </c>
      <c r="G157" s="4">
        <v>166.79</v>
      </c>
    </row>
    <row r="158" spans="2:7" ht="14.1" customHeight="1" x14ac:dyDescent="0.3">
      <c r="B158" s="4"/>
      <c r="C158" s="4"/>
      <c r="D158" s="4"/>
      <c r="E158" s="4"/>
      <c r="F158" s="4"/>
      <c r="G158" s="4"/>
    </row>
    <row r="159" spans="2:7" ht="14.1" customHeight="1" x14ac:dyDescent="0.3">
      <c r="B159" s="4">
        <v>39</v>
      </c>
      <c r="C159" s="7" t="s">
        <v>137</v>
      </c>
      <c r="D159" s="4"/>
      <c r="E159" s="4"/>
      <c r="F159" s="4"/>
      <c r="G159" s="4"/>
    </row>
    <row r="160" spans="2:7" ht="14.1" customHeight="1" x14ac:dyDescent="0.3">
      <c r="B160" s="4"/>
      <c r="C160" s="7" t="s">
        <v>11</v>
      </c>
      <c r="D160" s="4"/>
      <c r="E160" s="4"/>
      <c r="F160" s="2" t="s">
        <v>9</v>
      </c>
      <c r="G160" s="4">
        <v>166.79</v>
      </c>
    </row>
    <row r="161" spans="2:7" ht="14.1" customHeight="1" x14ac:dyDescent="0.3">
      <c r="B161" s="4"/>
      <c r="C161" s="4"/>
      <c r="D161" s="4"/>
      <c r="E161" s="4"/>
      <c r="F161" s="4"/>
      <c r="G161" s="4"/>
    </row>
    <row r="162" spans="2:7" ht="14.1" customHeight="1" x14ac:dyDescent="0.3">
      <c r="B162" s="4">
        <v>40</v>
      </c>
      <c r="C162" s="7" t="s">
        <v>141</v>
      </c>
      <c r="D162" s="60">
        <v>1</v>
      </c>
      <c r="E162" s="7">
        <v>53.33</v>
      </c>
      <c r="F162" s="7"/>
      <c r="G162" s="7">
        <v>53.33</v>
      </c>
    </row>
    <row r="163" spans="2:7" ht="14.1" customHeight="1" x14ac:dyDescent="0.3">
      <c r="B163" s="4"/>
      <c r="C163" s="7"/>
      <c r="D163" s="60"/>
      <c r="E163" s="7"/>
      <c r="F163" s="33" t="s">
        <v>9</v>
      </c>
      <c r="G163" s="7">
        <f>SUM(G162:G162)</f>
        <v>53.33</v>
      </c>
    </row>
    <row r="164" spans="2:7" ht="14.1" customHeight="1" x14ac:dyDescent="0.3">
      <c r="B164" s="4"/>
      <c r="C164" s="7"/>
      <c r="D164" s="60"/>
      <c r="E164" s="7"/>
      <c r="F164" s="7"/>
      <c r="G164" s="7"/>
    </row>
    <row r="165" spans="2:7" ht="14.1" customHeight="1" x14ac:dyDescent="0.3">
      <c r="B165" s="4">
        <v>41</v>
      </c>
      <c r="C165" s="7" t="s">
        <v>136</v>
      </c>
      <c r="D165" s="4"/>
      <c r="E165" s="5"/>
      <c r="F165" s="2"/>
      <c r="G165" s="5"/>
    </row>
    <row r="166" spans="2:7" ht="14.1" customHeight="1" x14ac:dyDescent="0.3">
      <c r="B166" s="4"/>
      <c r="C166" s="7" t="s">
        <v>11</v>
      </c>
      <c r="D166" s="4"/>
      <c r="E166" s="5"/>
      <c r="F166" s="2" t="s">
        <v>9</v>
      </c>
      <c r="G166" s="7">
        <v>53.33</v>
      </c>
    </row>
    <row r="167" spans="2:7" ht="14.1" customHeight="1" x14ac:dyDescent="0.3">
      <c r="B167" s="4"/>
      <c r="C167" s="7"/>
      <c r="D167" s="60"/>
      <c r="E167" s="7"/>
      <c r="F167" s="7"/>
      <c r="G167" s="7"/>
    </row>
    <row r="168" spans="2:7" ht="14.1" customHeight="1" x14ac:dyDescent="0.3">
      <c r="B168" s="4">
        <v>42</v>
      </c>
      <c r="C168" s="61" t="s">
        <v>149</v>
      </c>
      <c r="D168" s="4"/>
      <c r="E168" s="4"/>
      <c r="F168" s="4"/>
      <c r="G168" s="4"/>
    </row>
    <row r="169" spans="2:7" ht="14.1" customHeight="1" x14ac:dyDescent="0.3">
      <c r="B169" s="4"/>
      <c r="C169" s="7" t="s">
        <v>11</v>
      </c>
      <c r="D169" s="4"/>
      <c r="E169" s="4"/>
      <c r="F169" s="2" t="s">
        <v>9</v>
      </c>
      <c r="G169" s="7">
        <v>53.33</v>
      </c>
    </row>
    <row r="170" spans="2:7" ht="14.1" customHeight="1" x14ac:dyDescent="0.3">
      <c r="B170" s="4"/>
      <c r="C170" s="4"/>
      <c r="D170" s="4"/>
      <c r="E170" s="4"/>
      <c r="F170" s="4"/>
      <c r="G170" s="4"/>
    </row>
    <row r="171" spans="2:7" ht="14.1" customHeight="1" x14ac:dyDescent="0.3">
      <c r="B171" s="4">
        <v>43</v>
      </c>
      <c r="C171" s="7" t="s">
        <v>142</v>
      </c>
      <c r="D171" s="7">
        <v>4</v>
      </c>
      <c r="E171" s="7">
        <v>0.25</v>
      </c>
      <c r="F171" s="7"/>
      <c r="G171" s="7">
        <v>1</v>
      </c>
    </row>
    <row r="172" spans="2:7" ht="14.1" customHeight="1" x14ac:dyDescent="0.3">
      <c r="B172" s="4"/>
      <c r="C172" s="7"/>
      <c r="D172" s="7"/>
      <c r="E172" s="7"/>
      <c r="F172" s="16" t="s">
        <v>9</v>
      </c>
      <c r="G172" s="7">
        <v>1</v>
      </c>
    </row>
    <row r="173" spans="2:7" ht="14.1" customHeight="1" x14ac:dyDescent="0.3">
      <c r="B173" s="4"/>
      <c r="C173" s="4"/>
      <c r="D173" s="4"/>
      <c r="E173" s="4"/>
      <c r="F173" s="4"/>
      <c r="G173" s="4"/>
    </row>
    <row r="174" spans="2:7" ht="14.1" customHeight="1" x14ac:dyDescent="0.3">
      <c r="B174" s="4">
        <v>44</v>
      </c>
      <c r="C174" s="7" t="s">
        <v>141</v>
      </c>
      <c r="D174" s="60">
        <v>1</v>
      </c>
      <c r="E174" s="7">
        <v>13.16</v>
      </c>
      <c r="F174" s="7"/>
      <c r="G174" s="7">
        <v>13.16</v>
      </c>
    </row>
    <row r="175" spans="2:7" ht="14.1" customHeight="1" x14ac:dyDescent="0.3">
      <c r="B175" s="4"/>
      <c r="C175" s="7"/>
      <c r="D175" s="60"/>
      <c r="E175" s="7"/>
      <c r="F175" s="33" t="s">
        <v>9</v>
      </c>
      <c r="G175" s="7">
        <f>SUM(G174:G174)</f>
        <v>13.16</v>
      </c>
    </row>
    <row r="176" spans="2:7" ht="14.1" customHeight="1" x14ac:dyDescent="0.3">
      <c r="B176" s="4"/>
      <c r="C176" s="7"/>
      <c r="D176" s="60"/>
      <c r="E176" s="7"/>
      <c r="F176" s="7"/>
      <c r="G176" s="7"/>
    </row>
    <row r="177" spans="2:7" ht="14.1" customHeight="1" x14ac:dyDescent="0.3">
      <c r="B177" s="4">
        <v>45</v>
      </c>
      <c r="C177" s="7" t="s">
        <v>136</v>
      </c>
      <c r="D177" s="4"/>
      <c r="E177" s="5"/>
      <c r="F177" s="2"/>
      <c r="G177" s="5"/>
    </row>
    <row r="178" spans="2:7" ht="14.1" customHeight="1" x14ac:dyDescent="0.3">
      <c r="B178" s="4"/>
      <c r="C178" s="7" t="s">
        <v>11</v>
      </c>
      <c r="D178" s="4"/>
      <c r="E178" s="5"/>
      <c r="F178" s="2" t="s">
        <v>9</v>
      </c>
      <c r="G178" s="7">
        <v>13.16</v>
      </c>
    </row>
    <row r="179" spans="2:7" ht="14.1" customHeight="1" x14ac:dyDescent="0.3">
      <c r="B179" s="4"/>
      <c r="C179" s="7"/>
      <c r="D179" s="60"/>
      <c r="E179" s="7"/>
      <c r="F179" s="7"/>
      <c r="G179" s="7"/>
    </row>
    <row r="180" spans="2:7" ht="14.1" customHeight="1" x14ac:dyDescent="0.3">
      <c r="B180" s="4">
        <v>46</v>
      </c>
      <c r="C180" s="61" t="s">
        <v>149</v>
      </c>
      <c r="D180" s="4"/>
      <c r="E180" s="4"/>
      <c r="F180" s="4"/>
      <c r="G180" s="4"/>
    </row>
    <row r="181" spans="2:7" ht="14.1" customHeight="1" x14ac:dyDescent="0.3">
      <c r="B181" s="4"/>
      <c r="C181" s="7" t="s">
        <v>11</v>
      </c>
      <c r="D181" s="4"/>
      <c r="E181" s="4"/>
      <c r="F181" s="2" t="s">
        <v>9</v>
      </c>
      <c r="G181" s="7">
        <v>13.16</v>
      </c>
    </row>
    <row r="182" spans="2:7" ht="14.1" customHeight="1" x14ac:dyDescent="0.3">
      <c r="B182" s="4"/>
      <c r="C182" s="4"/>
      <c r="D182" s="4"/>
      <c r="E182" s="4"/>
      <c r="F182" s="4"/>
      <c r="G182" s="4"/>
    </row>
    <row r="183" spans="2:7" ht="14.1" customHeight="1" x14ac:dyDescent="0.3">
      <c r="B183" s="4">
        <v>47</v>
      </c>
      <c r="C183" s="7" t="s">
        <v>142</v>
      </c>
      <c r="D183" s="4">
        <v>5</v>
      </c>
      <c r="E183" s="4">
        <v>0.25</v>
      </c>
      <c r="F183" s="4"/>
      <c r="G183" s="4">
        <v>1.25</v>
      </c>
    </row>
    <row r="184" spans="2:7" ht="14.1" customHeight="1" x14ac:dyDescent="0.3">
      <c r="B184" s="4"/>
      <c r="C184" s="4"/>
      <c r="D184" s="4"/>
      <c r="E184" s="4"/>
      <c r="F184" s="2" t="s">
        <v>9</v>
      </c>
      <c r="G184" s="4">
        <v>1.25</v>
      </c>
    </row>
    <row r="185" spans="2:7" ht="14.1" customHeight="1" x14ac:dyDescent="0.3">
      <c r="B185" s="4"/>
      <c r="C185" s="4"/>
      <c r="D185" s="4"/>
      <c r="E185" s="4"/>
      <c r="F185" s="4"/>
      <c r="G185" s="4"/>
    </row>
    <row r="186" spans="2:7" ht="14.1" customHeight="1" x14ac:dyDescent="0.3">
      <c r="B186" s="4">
        <f>+B183+1</f>
        <v>48</v>
      </c>
      <c r="C186" s="15" t="s">
        <v>133</v>
      </c>
      <c r="D186" s="4"/>
      <c r="E186" s="4">
        <v>14.41</v>
      </c>
      <c r="F186" s="4">
        <v>10.41</v>
      </c>
      <c r="G186" s="4">
        <f>SUM(E186*F186)</f>
        <v>150.00810000000001</v>
      </c>
    </row>
    <row r="187" spans="2:7" ht="14.1" customHeight="1" x14ac:dyDescent="0.3">
      <c r="B187" s="4"/>
      <c r="C187" s="4" t="s">
        <v>153</v>
      </c>
      <c r="D187" s="4"/>
      <c r="E187" s="4">
        <v>2.41</v>
      </c>
      <c r="F187" s="4">
        <v>1</v>
      </c>
      <c r="G187" s="4">
        <f t="shared" ref="G187" si="3">SUM(E187*F187)</f>
        <v>2.41</v>
      </c>
    </row>
    <row r="188" spans="2:7" ht="14.1" customHeight="1" x14ac:dyDescent="0.3">
      <c r="B188" s="4"/>
      <c r="C188" s="4"/>
      <c r="D188" s="4"/>
      <c r="E188" s="4"/>
      <c r="F188" s="2" t="s">
        <v>9</v>
      </c>
      <c r="G188" s="4">
        <f>SUM(G186:G187)</f>
        <v>152.41810000000001</v>
      </c>
    </row>
    <row r="189" spans="2:7" ht="14.1" customHeight="1" x14ac:dyDescent="0.3">
      <c r="B189" s="4"/>
      <c r="C189" s="4"/>
      <c r="D189" s="4"/>
      <c r="E189" s="4"/>
      <c r="F189" s="4"/>
      <c r="G189" s="4"/>
    </row>
    <row r="190" spans="2:7" ht="14.1" customHeight="1" x14ac:dyDescent="0.3">
      <c r="B190" s="4">
        <v>49</v>
      </c>
      <c r="C190" s="7" t="s">
        <v>136</v>
      </c>
      <c r="D190" s="4"/>
      <c r="E190" s="5"/>
      <c r="F190" s="2"/>
      <c r="G190" s="5"/>
    </row>
    <row r="191" spans="2:7" ht="14.1" customHeight="1" x14ac:dyDescent="0.3">
      <c r="B191" s="4"/>
      <c r="C191" s="7" t="s">
        <v>11</v>
      </c>
      <c r="D191" s="4"/>
      <c r="E191" s="5"/>
      <c r="F191" s="2" t="s">
        <v>9</v>
      </c>
      <c r="G191" s="4">
        <v>152.41</v>
      </c>
    </row>
    <row r="192" spans="2:7" ht="14.1" customHeight="1" x14ac:dyDescent="0.3">
      <c r="B192" s="4"/>
      <c r="C192" s="4"/>
      <c r="D192" s="4"/>
      <c r="E192" s="4"/>
      <c r="F192" s="4"/>
      <c r="G192" s="4"/>
    </row>
    <row r="193" spans="2:7" ht="14.1" customHeight="1" x14ac:dyDescent="0.3">
      <c r="B193" s="4">
        <v>50</v>
      </c>
      <c r="C193" s="61" t="s">
        <v>149</v>
      </c>
      <c r="D193" s="4"/>
      <c r="E193" s="4"/>
      <c r="F193" s="4"/>
      <c r="G193" s="4"/>
    </row>
    <row r="194" spans="2:7" ht="14.1" customHeight="1" x14ac:dyDescent="0.3">
      <c r="B194" s="4"/>
      <c r="C194" s="7" t="s">
        <v>11</v>
      </c>
      <c r="D194" s="4"/>
      <c r="E194" s="4"/>
      <c r="F194" s="2" t="s">
        <v>9</v>
      </c>
      <c r="G194" s="4">
        <v>152.41</v>
      </c>
    </row>
    <row r="195" spans="2:7" ht="14.1" customHeight="1" x14ac:dyDescent="0.3">
      <c r="B195" s="4"/>
      <c r="C195" s="4"/>
      <c r="D195" s="4"/>
      <c r="E195" s="4"/>
      <c r="F195" s="4"/>
      <c r="G195" s="4"/>
    </row>
    <row r="196" spans="2:7" ht="14.1" customHeight="1" x14ac:dyDescent="0.3">
      <c r="B196" s="4">
        <v>51</v>
      </c>
      <c r="C196" s="7" t="s">
        <v>135</v>
      </c>
      <c r="D196" s="4"/>
      <c r="E196" s="4"/>
      <c r="F196" s="4"/>
      <c r="G196" s="4"/>
    </row>
    <row r="197" spans="2:7" ht="14.1" customHeight="1" x14ac:dyDescent="0.3">
      <c r="B197" s="4"/>
      <c r="C197" s="7" t="s">
        <v>11</v>
      </c>
      <c r="D197" s="4"/>
      <c r="E197" s="4"/>
      <c r="F197" s="2" t="s">
        <v>9</v>
      </c>
      <c r="G197" s="4">
        <v>152.41</v>
      </c>
    </row>
    <row r="198" spans="2:7" ht="14.1" customHeight="1" x14ac:dyDescent="0.3">
      <c r="B198" s="4"/>
      <c r="C198" s="4"/>
      <c r="D198" s="4"/>
      <c r="E198" s="4"/>
      <c r="F198" s="4"/>
      <c r="G198" s="4"/>
    </row>
    <row r="199" spans="2:7" ht="14.1" customHeight="1" x14ac:dyDescent="0.3">
      <c r="B199" s="4">
        <v>52</v>
      </c>
      <c r="C199" s="7" t="s">
        <v>137</v>
      </c>
      <c r="D199" s="4"/>
      <c r="E199" s="4"/>
      <c r="F199" s="4"/>
      <c r="G199" s="4"/>
    </row>
    <row r="200" spans="2:7" ht="14.1" customHeight="1" x14ac:dyDescent="0.3">
      <c r="B200" s="4"/>
      <c r="C200" s="7" t="s">
        <v>11</v>
      </c>
      <c r="D200" s="4"/>
      <c r="E200" s="4"/>
      <c r="F200" s="2" t="s">
        <v>9</v>
      </c>
      <c r="G200" s="4">
        <v>152.41</v>
      </c>
    </row>
    <row r="201" spans="2:7" ht="14.1" customHeight="1" x14ac:dyDescent="0.3">
      <c r="B201" s="4"/>
      <c r="C201" s="4"/>
      <c r="D201" s="4"/>
      <c r="E201" s="4"/>
      <c r="F201" s="4"/>
      <c r="G201" s="4"/>
    </row>
    <row r="202" spans="2:7" ht="14.1" customHeight="1" x14ac:dyDescent="0.3">
      <c r="B202" s="4">
        <v>53</v>
      </c>
      <c r="C202" s="7" t="s">
        <v>141</v>
      </c>
      <c r="D202" s="60">
        <v>1</v>
      </c>
      <c r="E202" s="7">
        <v>44.66</v>
      </c>
      <c r="F202" s="7"/>
      <c r="G202" s="7">
        <v>44.66</v>
      </c>
    </row>
    <row r="203" spans="2:7" ht="14.1" customHeight="1" x14ac:dyDescent="0.3">
      <c r="B203" s="4"/>
      <c r="C203" s="7"/>
      <c r="D203" s="60"/>
      <c r="E203" s="7"/>
      <c r="F203" s="33" t="s">
        <v>9</v>
      </c>
      <c r="G203" s="7">
        <f>SUM(G202:G202)</f>
        <v>44.66</v>
      </c>
    </row>
    <row r="204" spans="2:7" ht="14.1" customHeight="1" x14ac:dyDescent="0.3">
      <c r="B204" s="4"/>
      <c r="C204" s="7"/>
      <c r="D204" s="60"/>
      <c r="E204" s="7"/>
      <c r="F204" s="7"/>
      <c r="G204" s="7"/>
    </row>
    <row r="205" spans="2:7" ht="14.1" customHeight="1" x14ac:dyDescent="0.3">
      <c r="B205" s="4">
        <v>54</v>
      </c>
      <c r="C205" s="7" t="s">
        <v>136</v>
      </c>
      <c r="D205" s="4"/>
      <c r="E205" s="5"/>
      <c r="F205" s="2"/>
      <c r="G205" s="5"/>
    </row>
    <row r="206" spans="2:7" ht="14.1" customHeight="1" x14ac:dyDescent="0.3">
      <c r="B206" s="4"/>
      <c r="C206" s="7" t="s">
        <v>11</v>
      </c>
      <c r="D206" s="4"/>
      <c r="E206" s="5"/>
      <c r="F206" s="2" t="s">
        <v>9</v>
      </c>
      <c r="G206" s="7">
        <v>44.66</v>
      </c>
    </row>
    <row r="207" spans="2:7" ht="14.1" customHeight="1" x14ac:dyDescent="0.3">
      <c r="B207" s="4"/>
      <c r="C207" s="7"/>
      <c r="D207" s="60"/>
      <c r="E207" s="7"/>
      <c r="F207" s="7"/>
      <c r="G207" s="7"/>
    </row>
    <row r="208" spans="2:7" ht="14.1" customHeight="1" x14ac:dyDescent="0.3">
      <c r="B208" s="9">
        <v>55</v>
      </c>
      <c r="C208" s="61" t="s">
        <v>149</v>
      </c>
      <c r="D208" s="4"/>
      <c r="E208" s="4"/>
      <c r="F208" s="4"/>
      <c r="G208" s="4"/>
    </row>
    <row r="209" spans="2:7" ht="14.1" customHeight="1" x14ac:dyDescent="0.3">
      <c r="B209" s="9"/>
      <c r="C209" s="7" t="s">
        <v>11</v>
      </c>
      <c r="D209" s="4"/>
      <c r="E209" s="4"/>
      <c r="F209" s="2" t="s">
        <v>9</v>
      </c>
      <c r="G209" s="7">
        <v>44.66</v>
      </c>
    </row>
    <row r="210" spans="2:7" ht="14.1" customHeight="1" x14ac:dyDescent="0.3">
      <c r="B210" s="9"/>
      <c r="C210" s="4"/>
      <c r="D210" s="4"/>
      <c r="E210" s="4"/>
      <c r="F210" s="4"/>
      <c r="G210" s="4"/>
    </row>
    <row r="211" spans="2:7" ht="14.1" customHeight="1" x14ac:dyDescent="0.3">
      <c r="B211" s="9">
        <v>56</v>
      </c>
      <c r="C211" s="7" t="s">
        <v>142</v>
      </c>
      <c r="D211" s="4">
        <v>2</v>
      </c>
      <c r="E211" s="4">
        <v>0.25</v>
      </c>
      <c r="F211" s="4"/>
      <c r="G211" s="4">
        <v>0.5</v>
      </c>
    </row>
    <row r="212" spans="2:7" ht="14.1" customHeight="1" x14ac:dyDescent="0.3">
      <c r="B212" s="9"/>
      <c r="C212" s="4"/>
      <c r="D212" s="4"/>
      <c r="E212" s="4"/>
      <c r="F212" s="2" t="s">
        <v>9</v>
      </c>
      <c r="G212" s="4">
        <v>0.5</v>
      </c>
    </row>
    <row r="213" spans="2:7" ht="14.1" customHeight="1" x14ac:dyDescent="0.3">
      <c r="B213" s="9"/>
      <c r="C213" s="4"/>
      <c r="D213" s="4"/>
      <c r="E213" s="4"/>
      <c r="F213" s="4"/>
      <c r="G213" s="4"/>
    </row>
    <row r="214" spans="2:7" ht="14.1" customHeight="1" x14ac:dyDescent="0.3">
      <c r="B214" s="9">
        <v>57</v>
      </c>
      <c r="C214" s="15" t="s">
        <v>133</v>
      </c>
      <c r="D214" s="4"/>
      <c r="E214" s="4">
        <v>14.25</v>
      </c>
      <c r="F214" s="4">
        <v>10.16</v>
      </c>
      <c r="G214" s="4">
        <f>SUM(E214*F214)</f>
        <v>144.78</v>
      </c>
    </row>
    <row r="215" spans="2:7" ht="14.1" customHeight="1" x14ac:dyDescent="0.3">
      <c r="B215" s="9"/>
      <c r="C215" s="4" t="s">
        <v>154</v>
      </c>
      <c r="D215" s="4"/>
      <c r="E215" s="4"/>
      <c r="F215" s="2" t="s">
        <v>9</v>
      </c>
      <c r="G215" s="4">
        <v>144.78</v>
      </c>
    </row>
    <row r="216" spans="2:7" ht="14.1" customHeight="1" x14ac:dyDescent="0.3">
      <c r="B216" s="9"/>
      <c r="C216" s="4"/>
      <c r="D216" s="4"/>
      <c r="E216" s="4"/>
      <c r="F216" s="4"/>
      <c r="G216" s="4"/>
    </row>
    <row r="217" spans="2:7" ht="14.1" customHeight="1" x14ac:dyDescent="0.3">
      <c r="B217" s="9">
        <f>+B214+1</f>
        <v>58</v>
      </c>
      <c r="C217" s="7" t="s">
        <v>136</v>
      </c>
      <c r="D217" s="4"/>
      <c r="E217" s="5"/>
      <c r="F217" s="2"/>
      <c r="G217" s="5"/>
    </row>
    <row r="218" spans="2:7" ht="14.1" customHeight="1" x14ac:dyDescent="0.3">
      <c r="B218" s="9"/>
      <c r="C218" s="7" t="s">
        <v>11</v>
      </c>
      <c r="D218" s="4"/>
      <c r="E218" s="5"/>
      <c r="F218" s="2" t="s">
        <v>9</v>
      </c>
      <c r="G218" s="4">
        <v>144.78</v>
      </c>
    </row>
    <row r="219" spans="2:7" ht="14.1" customHeight="1" x14ac:dyDescent="0.3">
      <c r="B219" s="9"/>
      <c r="C219" s="4"/>
      <c r="D219" s="4"/>
      <c r="E219" s="4"/>
      <c r="F219" s="4"/>
      <c r="G219" s="4"/>
    </row>
    <row r="220" spans="2:7" ht="14.1" customHeight="1" x14ac:dyDescent="0.3">
      <c r="B220" s="9">
        <v>59</v>
      </c>
      <c r="C220" s="61" t="s">
        <v>149</v>
      </c>
      <c r="D220" s="4"/>
      <c r="E220" s="4"/>
      <c r="F220" s="4"/>
      <c r="G220" s="4"/>
    </row>
    <row r="221" spans="2:7" ht="14.1" customHeight="1" x14ac:dyDescent="0.3">
      <c r="B221" s="9"/>
      <c r="C221" s="7" t="s">
        <v>11</v>
      </c>
      <c r="D221" s="4"/>
      <c r="E221" s="4"/>
      <c r="F221" s="2" t="s">
        <v>9</v>
      </c>
      <c r="G221" s="4">
        <v>144.78</v>
      </c>
    </row>
    <row r="222" spans="2:7" ht="14.1" customHeight="1" x14ac:dyDescent="0.3">
      <c r="B222" s="9"/>
      <c r="C222" s="4"/>
      <c r="D222" s="4"/>
      <c r="E222" s="4"/>
      <c r="F222" s="4"/>
      <c r="G222" s="4"/>
    </row>
    <row r="223" spans="2:7" ht="14.1" customHeight="1" x14ac:dyDescent="0.3">
      <c r="B223" s="9">
        <v>60</v>
      </c>
      <c r="C223" s="7" t="s">
        <v>135</v>
      </c>
      <c r="D223" s="4"/>
      <c r="E223" s="4"/>
      <c r="F223" s="4"/>
      <c r="G223" s="4"/>
    </row>
    <row r="224" spans="2:7" ht="14.1" customHeight="1" x14ac:dyDescent="0.3">
      <c r="B224" s="9"/>
      <c r="C224" s="7" t="s">
        <v>11</v>
      </c>
      <c r="D224" s="4"/>
      <c r="E224" s="4"/>
      <c r="F224" s="2" t="s">
        <v>9</v>
      </c>
      <c r="G224" s="4">
        <v>144.78</v>
      </c>
    </row>
    <row r="225" spans="2:7" ht="14.1" customHeight="1" x14ac:dyDescent="0.3">
      <c r="B225" s="9"/>
      <c r="C225" s="4"/>
      <c r="D225" s="4"/>
      <c r="E225" s="4"/>
      <c r="F225" s="4"/>
      <c r="G225" s="4"/>
    </row>
    <row r="226" spans="2:7" ht="14.1" customHeight="1" x14ac:dyDescent="0.3">
      <c r="B226" s="9">
        <v>61</v>
      </c>
      <c r="C226" s="7" t="s">
        <v>137</v>
      </c>
      <c r="D226" s="4"/>
      <c r="E226" s="4"/>
      <c r="F226" s="4"/>
      <c r="G226" s="4"/>
    </row>
    <row r="227" spans="2:7" ht="14.1" customHeight="1" x14ac:dyDescent="0.3">
      <c r="B227" s="9"/>
      <c r="C227" s="7" t="s">
        <v>11</v>
      </c>
      <c r="D227" s="4"/>
      <c r="E227" s="4"/>
      <c r="F227" s="2" t="s">
        <v>9</v>
      </c>
      <c r="G227" s="4">
        <v>144.78</v>
      </c>
    </row>
    <row r="228" spans="2:7" ht="14.1" customHeight="1" x14ac:dyDescent="0.3">
      <c r="B228" s="4"/>
      <c r="C228" s="4"/>
      <c r="D228" s="4"/>
      <c r="E228" s="4"/>
      <c r="F228" s="4"/>
      <c r="G228" s="4"/>
    </row>
    <row r="229" spans="2:7" ht="14.1" customHeight="1" x14ac:dyDescent="0.3">
      <c r="B229" s="4">
        <v>62</v>
      </c>
      <c r="C229" s="7" t="s">
        <v>141</v>
      </c>
      <c r="D229" s="60">
        <v>1</v>
      </c>
      <c r="E229" s="7">
        <v>47</v>
      </c>
      <c r="F229" s="7"/>
      <c r="G229" s="7">
        <v>47</v>
      </c>
    </row>
    <row r="230" spans="2:7" ht="14.1" customHeight="1" x14ac:dyDescent="0.3">
      <c r="B230" s="4"/>
      <c r="C230" s="7"/>
      <c r="D230" s="60"/>
      <c r="E230" s="7"/>
      <c r="F230" s="33" t="s">
        <v>9</v>
      </c>
      <c r="G230" s="7">
        <f>SUM(G229:G229)</f>
        <v>47</v>
      </c>
    </row>
    <row r="231" spans="2:7" ht="14.1" customHeight="1" x14ac:dyDescent="0.3">
      <c r="B231" s="4"/>
      <c r="C231" s="7"/>
      <c r="D231" s="60"/>
      <c r="E231" s="7"/>
      <c r="F231" s="7"/>
      <c r="G231" s="7"/>
    </row>
    <row r="232" spans="2:7" ht="14.1" customHeight="1" x14ac:dyDescent="0.3">
      <c r="B232" s="4">
        <v>63</v>
      </c>
      <c r="C232" s="7" t="s">
        <v>136</v>
      </c>
      <c r="D232" s="4"/>
      <c r="E232" s="5"/>
      <c r="F232" s="2"/>
      <c r="G232" s="5"/>
    </row>
    <row r="233" spans="2:7" ht="14.1" customHeight="1" x14ac:dyDescent="0.3">
      <c r="B233" s="4"/>
      <c r="C233" s="7" t="s">
        <v>11</v>
      </c>
      <c r="D233" s="4"/>
      <c r="E233" s="5"/>
      <c r="F233" s="2" t="s">
        <v>9</v>
      </c>
      <c r="G233" s="7">
        <v>47</v>
      </c>
    </row>
    <row r="234" spans="2:7" ht="14.1" customHeight="1" x14ac:dyDescent="0.3">
      <c r="B234" s="4"/>
      <c r="C234" s="7"/>
      <c r="D234" s="60"/>
      <c r="E234" s="7"/>
      <c r="F234" s="7"/>
      <c r="G234" s="7"/>
    </row>
    <row r="235" spans="2:7" ht="14.1" customHeight="1" x14ac:dyDescent="0.3">
      <c r="B235" s="4">
        <v>64</v>
      </c>
      <c r="C235" s="61" t="s">
        <v>149</v>
      </c>
      <c r="D235" s="4"/>
      <c r="E235" s="4"/>
      <c r="F235" s="4"/>
      <c r="G235" s="4"/>
    </row>
    <row r="236" spans="2:7" ht="14.1" customHeight="1" x14ac:dyDescent="0.3">
      <c r="B236" s="4"/>
      <c r="C236" s="7" t="s">
        <v>11</v>
      </c>
      <c r="D236" s="4"/>
      <c r="E236" s="4"/>
      <c r="F236" s="2" t="s">
        <v>9</v>
      </c>
      <c r="G236" s="7">
        <v>47</v>
      </c>
    </row>
    <row r="237" spans="2:7" ht="14.1" customHeight="1" x14ac:dyDescent="0.3">
      <c r="B237" s="4"/>
      <c r="C237" s="4"/>
      <c r="D237" s="4"/>
      <c r="E237" s="4"/>
      <c r="F237" s="4"/>
      <c r="G237" s="4"/>
    </row>
    <row r="238" spans="2:7" ht="14.1" customHeight="1" x14ac:dyDescent="0.3">
      <c r="B238" s="4">
        <v>65</v>
      </c>
      <c r="C238" s="7" t="s">
        <v>142</v>
      </c>
      <c r="D238" s="4">
        <v>1</v>
      </c>
      <c r="E238" s="4">
        <v>0.25</v>
      </c>
      <c r="F238" s="4"/>
      <c r="G238" s="4">
        <v>0.25</v>
      </c>
    </row>
    <row r="239" spans="2:7" ht="14.1" customHeight="1" x14ac:dyDescent="0.3">
      <c r="B239" s="4"/>
      <c r="C239" s="4"/>
      <c r="D239" s="4"/>
      <c r="E239" s="4"/>
      <c r="F239" s="2" t="s">
        <v>9</v>
      </c>
      <c r="G239" s="4">
        <v>0.25</v>
      </c>
    </row>
    <row r="240" spans="2:7" ht="14.1" customHeight="1" x14ac:dyDescent="0.3">
      <c r="B240" s="4"/>
      <c r="C240" s="4"/>
      <c r="D240" s="4"/>
      <c r="E240" s="4"/>
      <c r="F240" s="4"/>
      <c r="G240" s="4"/>
    </row>
    <row r="241" spans="2:7" ht="14.1" customHeight="1" x14ac:dyDescent="0.3">
      <c r="B241" s="4">
        <v>66</v>
      </c>
      <c r="C241" s="15" t="s">
        <v>133</v>
      </c>
      <c r="D241" s="4"/>
      <c r="E241" s="4">
        <v>10.75</v>
      </c>
      <c r="F241" s="4">
        <v>8.33</v>
      </c>
      <c r="G241" s="4">
        <f>SUM(E241*F241)</f>
        <v>89.547499999999999</v>
      </c>
    </row>
    <row r="242" spans="2:7" ht="14.1" customHeight="1" x14ac:dyDescent="0.3">
      <c r="B242" s="4"/>
      <c r="C242" s="4" t="s">
        <v>155</v>
      </c>
      <c r="D242" s="4"/>
      <c r="E242" s="4">
        <v>3.58</v>
      </c>
      <c r="F242" s="4">
        <v>0.66</v>
      </c>
      <c r="G242" s="4">
        <f>SUM(E242*F242)</f>
        <v>2.3628</v>
      </c>
    </row>
    <row r="243" spans="2:7" ht="14.1" customHeight="1" x14ac:dyDescent="0.3">
      <c r="B243" s="4"/>
      <c r="C243" s="4"/>
      <c r="D243" s="4"/>
      <c r="E243" s="4"/>
      <c r="F243" s="2" t="s">
        <v>9</v>
      </c>
      <c r="G243" s="4">
        <f>SUM(G241:G242)</f>
        <v>91.910300000000007</v>
      </c>
    </row>
    <row r="244" spans="2:7" ht="14.1" customHeight="1" x14ac:dyDescent="0.3">
      <c r="B244" s="4"/>
      <c r="C244" s="4"/>
      <c r="D244" s="4"/>
      <c r="E244" s="4"/>
      <c r="F244" s="4"/>
      <c r="G244" s="4"/>
    </row>
    <row r="245" spans="2:7" ht="14.1" customHeight="1" x14ac:dyDescent="0.3">
      <c r="B245" s="4">
        <v>67</v>
      </c>
      <c r="C245" s="7" t="s">
        <v>136</v>
      </c>
      <c r="D245" s="4"/>
      <c r="E245" s="5"/>
      <c r="F245" s="2"/>
      <c r="G245" s="5"/>
    </row>
    <row r="246" spans="2:7" ht="14.1" customHeight="1" x14ac:dyDescent="0.3">
      <c r="B246" s="4"/>
      <c r="C246" s="7" t="s">
        <v>11</v>
      </c>
      <c r="D246" s="4"/>
      <c r="E246" s="5"/>
      <c r="F246" s="2" t="s">
        <v>9</v>
      </c>
      <c r="G246" s="4">
        <v>91.91</v>
      </c>
    </row>
    <row r="247" spans="2:7" ht="14.1" customHeight="1" x14ac:dyDescent="0.3">
      <c r="B247" s="4"/>
      <c r="C247" s="4"/>
      <c r="D247" s="4"/>
      <c r="E247" s="4"/>
      <c r="F247" s="4"/>
      <c r="G247" s="4"/>
    </row>
    <row r="248" spans="2:7" ht="14.1" customHeight="1" x14ac:dyDescent="0.3">
      <c r="B248" s="4">
        <v>68</v>
      </c>
      <c r="C248" s="61" t="s">
        <v>149</v>
      </c>
      <c r="D248" s="4"/>
      <c r="E248" s="4"/>
      <c r="F248" s="4"/>
      <c r="G248" s="4"/>
    </row>
    <row r="249" spans="2:7" ht="14.1" customHeight="1" x14ac:dyDescent="0.3">
      <c r="B249" s="4"/>
      <c r="C249" s="7" t="s">
        <v>11</v>
      </c>
      <c r="D249" s="4"/>
      <c r="E249" s="4"/>
      <c r="F249" s="2" t="s">
        <v>9</v>
      </c>
      <c r="G249" s="4">
        <v>91.91</v>
      </c>
    </row>
    <row r="250" spans="2:7" ht="14.1" customHeight="1" x14ac:dyDescent="0.3">
      <c r="B250" s="4"/>
      <c r="C250" s="4"/>
      <c r="D250" s="4"/>
      <c r="E250" s="4"/>
      <c r="F250" s="4"/>
      <c r="G250" s="4"/>
    </row>
    <row r="251" spans="2:7" ht="14.1" customHeight="1" x14ac:dyDescent="0.3">
      <c r="B251" s="4">
        <v>69</v>
      </c>
      <c r="C251" s="7" t="s">
        <v>135</v>
      </c>
      <c r="D251" s="4"/>
      <c r="E251" s="4"/>
      <c r="F251" s="4"/>
      <c r="G251" s="4"/>
    </row>
    <row r="252" spans="2:7" ht="14.1" customHeight="1" x14ac:dyDescent="0.3">
      <c r="B252" s="4"/>
      <c r="C252" s="7" t="s">
        <v>11</v>
      </c>
      <c r="D252" s="4"/>
      <c r="E252" s="4"/>
      <c r="F252" s="2" t="s">
        <v>9</v>
      </c>
      <c r="G252" s="4">
        <v>91.91</v>
      </c>
    </row>
    <row r="253" spans="2:7" ht="14.1" customHeight="1" x14ac:dyDescent="0.3">
      <c r="B253" s="4"/>
      <c r="C253" s="4"/>
      <c r="D253" s="4"/>
      <c r="E253" s="4"/>
      <c r="F253" s="4"/>
      <c r="G253" s="4"/>
    </row>
    <row r="254" spans="2:7" ht="14.1" customHeight="1" x14ac:dyDescent="0.3">
      <c r="B254" s="4">
        <v>70</v>
      </c>
      <c r="C254" s="7" t="s">
        <v>137</v>
      </c>
      <c r="D254" s="4"/>
      <c r="E254" s="4"/>
      <c r="F254" s="4"/>
      <c r="G254" s="4"/>
    </row>
    <row r="255" spans="2:7" ht="14.1" customHeight="1" x14ac:dyDescent="0.3">
      <c r="B255" s="4"/>
      <c r="C255" s="7" t="s">
        <v>11</v>
      </c>
      <c r="D255" s="4"/>
      <c r="E255" s="4"/>
      <c r="F255" s="2" t="s">
        <v>9</v>
      </c>
      <c r="G255" s="4">
        <v>91.91</v>
      </c>
    </row>
    <row r="256" spans="2:7" ht="14.1" customHeight="1" x14ac:dyDescent="0.3">
      <c r="B256" s="4"/>
      <c r="C256" s="4"/>
      <c r="D256" s="4"/>
      <c r="E256" s="4"/>
      <c r="F256" s="4"/>
      <c r="G256" s="4"/>
    </row>
    <row r="257" spans="2:8" ht="14.1" customHeight="1" x14ac:dyDescent="0.3">
      <c r="B257" s="4">
        <v>71</v>
      </c>
      <c r="C257" s="7" t="s">
        <v>141</v>
      </c>
      <c r="D257" s="60">
        <v>1</v>
      </c>
      <c r="E257" s="7">
        <v>36</v>
      </c>
      <c r="F257" s="7"/>
      <c r="G257" s="7">
        <v>36</v>
      </c>
      <c r="H257" s="13"/>
    </row>
    <row r="258" spans="2:8" ht="14.1" customHeight="1" x14ac:dyDescent="0.3">
      <c r="B258" s="4"/>
      <c r="C258" s="7"/>
      <c r="D258" s="60"/>
      <c r="E258" s="7"/>
      <c r="F258" s="33" t="s">
        <v>9</v>
      </c>
      <c r="G258" s="7">
        <v>36</v>
      </c>
      <c r="H258" s="13"/>
    </row>
    <row r="259" spans="2:8" ht="14.1" customHeight="1" x14ac:dyDescent="0.3">
      <c r="B259" s="4"/>
      <c r="C259" s="7"/>
      <c r="D259" s="60"/>
      <c r="E259" s="7"/>
      <c r="F259" s="7"/>
      <c r="G259" s="7"/>
      <c r="H259" s="13"/>
    </row>
    <row r="260" spans="2:8" ht="14.1" customHeight="1" x14ac:dyDescent="0.3">
      <c r="B260" s="4">
        <v>72</v>
      </c>
      <c r="C260" s="7" t="s">
        <v>136</v>
      </c>
      <c r="D260" s="4"/>
      <c r="E260" s="5"/>
      <c r="F260" s="2"/>
      <c r="G260" s="5"/>
      <c r="H260" s="13"/>
    </row>
    <row r="261" spans="2:8" ht="14.1" customHeight="1" x14ac:dyDescent="0.3">
      <c r="B261" s="4"/>
      <c r="C261" s="7" t="s">
        <v>11</v>
      </c>
      <c r="D261" s="4"/>
      <c r="E261" s="5"/>
      <c r="F261" s="2" t="s">
        <v>9</v>
      </c>
      <c r="G261" s="7">
        <v>36</v>
      </c>
      <c r="H261" s="13"/>
    </row>
    <row r="262" spans="2:8" ht="14.1" customHeight="1" x14ac:dyDescent="0.3">
      <c r="B262" s="4"/>
      <c r="C262" s="7"/>
      <c r="D262" s="60"/>
      <c r="E262" s="7"/>
      <c r="F262" s="7"/>
      <c r="G262" s="7"/>
      <c r="H262" s="13"/>
    </row>
    <row r="263" spans="2:8" ht="14.1" customHeight="1" x14ac:dyDescent="0.3">
      <c r="B263" s="4">
        <f>+B260+1</f>
        <v>73</v>
      </c>
      <c r="C263" s="61" t="s">
        <v>149</v>
      </c>
      <c r="D263" s="4"/>
      <c r="E263" s="4"/>
      <c r="F263" s="4"/>
      <c r="G263" s="4"/>
      <c r="H263" s="13"/>
    </row>
    <row r="264" spans="2:8" ht="14.1" customHeight="1" x14ac:dyDescent="0.3">
      <c r="B264" s="4"/>
      <c r="C264" s="7" t="s">
        <v>11</v>
      </c>
      <c r="D264" s="4"/>
      <c r="E264" s="4"/>
      <c r="F264" s="2" t="s">
        <v>9</v>
      </c>
      <c r="G264" s="7">
        <v>36</v>
      </c>
      <c r="H264" s="13"/>
    </row>
    <row r="265" spans="2:8" ht="14.1" customHeight="1" x14ac:dyDescent="0.3">
      <c r="B265" s="4"/>
      <c r="C265" s="4"/>
      <c r="D265" s="4"/>
      <c r="E265" s="4"/>
      <c r="F265" s="4"/>
      <c r="G265" s="4"/>
      <c r="H265" s="13"/>
    </row>
    <row r="266" spans="2:8" ht="14.1" customHeight="1" x14ac:dyDescent="0.3">
      <c r="B266" s="4">
        <f>+B263+1</f>
        <v>74</v>
      </c>
      <c r="C266" s="7" t="s">
        <v>142</v>
      </c>
      <c r="D266" s="4">
        <v>2</v>
      </c>
      <c r="E266" s="4">
        <v>0.25</v>
      </c>
      <c r="F266" s="4"/>
      <c r="G266" s="4">
        <v>0.5</v>
      </c>
      <c r="H266" s="13"/>
    </row>
    <row r="267" spans="2:8" ht="14.1" customHeight="1" x14ac:dyDescent="0.3">
      <c r="B267" s="4"/>
      <c r="C267" s="4"/>
      <c r="D267" s="4"/>
      <c r="E267" s="4"/>
      <c r="F267" s="2" t="s">
        <v>9</v>
      </c>
      <c r="G267" s="4">
        <v>0.5</v>
      </c>
      <c r="H267" s="13"/>
    </row>
    <row r="268" spans="2:8" ht="14.1" customHeight="1" x14ac:dyDescent="0.3">
      <c r="B268" s="4"/>
      <c r="C268" s="4"/>
      <c r="D268" s="4"/>
      <c r="E268" s="4"/>
      <c r="F268" s="4"/>
      <c r="G268" s="4"/>
    </row>
    <row r="269" spans="2:8" ht="14.1" customHeight="1" x14ac:dyDescent="0.3">
      <c r="B269" s="4">
        <f>+B266+1</f>
        <v>75</v>
      </c>
      <c r="C269" s="7" t="s">
        <v>141</v>
      </c>
      <c r="D269" s="60">
        <v>1</v>
      </c>
      <c r="E269" s="7">
        <v>22.25</v>
      </c>
      <c r="F269" s="7"/>
      <c r="G269" s="7">
        <v>22.25</v>
      </c>
    </row>
    <row r="270" spans="2:8" ht="14.1" customHeight="1" x14ac:dyDescent="0.3">
      <c r="B270" s="4"/>
      <c r="C270" s="7" t="s">
        <v>156</v>
      </c>
      <c r="D270" s="60"/>
      <c r="E270" s="7"/>
      <c r="F270" s="33" t="s">
        <v>9</v>
      </c>
      <c r="G270" s="7">
        <v>22.25</v>
      </c>
    </row>
    <row r="271" spans="2:8" ht="14.1" customHeight="1" x14ac:dyDescent="0.3">
      <c r="B271" s="4"/>
      <c r="C271" s="7"/>
      <c r="D271" s="60"/>
      <c r="E271" s="7"/>
      <c r="F271" s="7"/>
      <c r="G271" s="7"/>
    </row>
    <row r="272" spans="2:8" ht="14.1" customHeight="1" x14ac:dyDescent="0.3">
      <c r="B272" s="4">
        <v>76</v>
      </c>
      <c r="C272" s="7" t="s">
        <v>136</v>
      </c>
      <c r="D272" s="4"/>
      <c r="E272" s="5"/>
      <c r="F272" s="2"/>
      <c r="G272" s="5"/>
    </row>
    <row r="273" spans="2:7" ht="14.1" customHeight="1" x14ac:dyDescent="0.3">
      <c r="B273" s="4"/>
      <c r="C273" s="7" t="s">
        <v>11</v>
      </c>
      <c r="D273" s="4"/>
      <c r="E273" s="5"/>
      <c r="F273" s="2" t="s">
        <v>9</v>
      </c>
      <c r="G273" s="7">
        <v>22.25</v>
      </c>
    </row>
    <row r="274" spans="2:7" ht="14.1" customHeight="1" x14ac:dyDescent="0.3">
      <c r="B274" s="4"/>
      <c r="C274" s="7"/>
      <c r="D274" s="60"/>
      <c r="E274" s="7"/>
      <c r="F274" s="7"/>
      <c r="G274" s="7"/>
    </row>
    <row r="275" spans="2:7" ht="14.1" customHeight="1" x14ac:dyDescent="0.3">
      <c r="B275" s="4">
        <v>77</v>
      </c>
      <c r="C275" s="61" t="s">
        <v>149</v>
      </c>
      <c r="D275" s="4"/>
      <c r="E275" s="4"/>
      <c r="F275" s="4"/>
      <c r="G275" s="4"/>
    </row>
    <row r="276" spans="2:7" ht="14.1" customHeight="1" x14ac:dyDescent="0.3">
      <c r="B276" s="4"/>
      <c r="C276" s="7" t="s">
        <v>11</v>
      </c>
      <c r="D276" s="4"/>
      <c r="E276" s="4"/>
      <c r="F276" s="2" t="s">
        <v>9</v>
      </c>
      <c r="G276" s="7">
        <v>22.25</v>
      </c>
    </row>
    <row r="277" spans="2:7" ht="14.1" customHeight="1" x14ac:dyDescent="0.3">
      <c r="B277" s="4"/>
      <c r="C277" s="4"/>
      <c r="D277" s="4"/>
      <c r="E277" s="4"/>
      <c r="F277" s="4"/>
      <c r="G277" s="4"/>
    </row>
    <row r="278" spans="2:7" ht="14.1" customHeight="1" x14ac:dyDescent="0.3">
      <c r="B278" s="4">
        <v>78</v>
      </c>
      <c r="C278" s="7" t="s">
        <v>142</v>
      </c>
      <c r="D278" s="4">
        <v>2</v>
      </c>
      <c r="E278" s="4">
        <v>0.25</v>
      </c>
      <c r="F278" s="4"/>
      <c r="G278" s="4">
        <v>0.5</v>
      </c>
    </row>
    <row r="279" spans="2:7" ht="14.1" customHeight="1" x14ac:dyDescent="0.3">
      <c r="B279" s="4"/>
      <c r="C279" s="4"/>
      <c r="D279" s="4"/>
      <c r="E279" s="4"/>
      <c r="F279" s="2" t="s">
        <v>9</v>
      </c>
      <c r="G279" s="4">
        <v>0.5</v>
      </c>
    </row>
    <row r="280" spans="2:7" ht="14.1" customHeight="1" x14ac:dyDescent="0.3">
      <c r="B280" s="4"/>
      <c r="C280" s="4"/>
      <c r="D280" s="4"/>
      <c r="E280" s="4"/>
      <c r="F280" s="2"/>
      <c r="G280" s="4"/>
    </row>
    <row r="281" spans="2:7" ht="14.1" customHeight="1" x14ac:dyDescent="0.3">
      <c r="B281" s="4">
        <v>79</v>
      </c>
      <c r="C281" s="61" t="s">
        <v>157</v>
      </c>
      <c r="D281" s="4">
        <v>1</v>
      </c>
      <c r="E281" s="4">
        <v>11.75</v>
      </c>
      <c r="F281" s="4"/>
      <c r="G281" s="4">
        <v>11.75</v>
      </c>
    </row>
    <row r="282" spans="2:7" ht="14.1" customHeight="1" x14ac:dyDescent="0.3">
      <c r="B282" s="4"/>
      <c r="C282" s="4"/>
      <c r="D282" s="4">
        <v>1</v>
      </c>
      <c r="E282" s="4">
        <v>5</v>
      </c>
      <c r="F282" s="4"/>
      <c r="G282" s="4">
        <v>5</v>
      </c>
    </row>
    <row r="283" spans="2:7" ht="14.1" customHeight="1" x14ac:dyDescent="0.3">
      <c r="B283" s="4"/>
      <c r="C283" s="4"/>
      <c r="D283" s="4"/>
      <c r="E283" s="4"/>
      <c r="F283" s="2" t="s">
        <v>9</v>
      </c>
      <c r="G283" s="4">
        <v>16.75</v>
      </c>
    </row>
    <row r="284" spans="2:7" ht="14.1" customHeight="1" x14ac:dyDescent="0.3">
      <c r="B284" s="4"/>
      <c r="C284" s="4"/>
      <c r="D284" s="4"/>
      <c r="E284" s="4"/>
      <c r="F284" s="4"/>
      <c r="G284" s="4"/>
    </row>
    <row r="285" spans="2:7" ht="14.1" customHeight="1" x14ac:dyDescent="0.3">
      <c r="B285" s="4">
        <v>80</v>
      </c>
      <c r="C285" s="61" t="s">
        <v>158</v>
      </c>
      <c r="D285" s="4">
        <v>1</v>
      </c>
      <c r="E285" s="4">
        <v>7.16</v>
      </c>
      <c r="F285" s="4"/>
      <c r="G285" s="4">
        <v>7.16</v>
      </c>
    </row>
    <row r="286" spans="2:7" ht="14.1" customHeight="1" x14ac:dyDescent="0.3">
      <c r="B286" s="4"/>
      <c r="C286" s="4"/>
      <c r="D286" s="4">
        <v>1</v>
      </c>
      <c r="E286" s="4">
        <v>9.66</v>
      </c>
      <c r="F286" s="4"/>
      <c r="G286" s="4">
        <v>9.66</v>
      </c>
    </row>
    <row r="287" spans="2:7" ht="14.1" customHeight="1" x14ac:dyDescent="0.3">
      <c r="B287" s="4"/>
      <c r="C287" s="4"/>
      <c r="D287" s="4"/>
      <c r="E287" s="4"/>
      <c r="F287" s="2" t="s">
        <v>9</v>
      </c>
      <c r="G287" s="4">
        <v>16.82</v>
      </c>
    </row>
    <row r="288" spans="2:7" ht="14.1" customHeight="1" x14ac:dyDescent="0.3">
      <c r="B288" s="4"/>
      <c r="C288" s="4"/>
      <c r="D288" s="4"/>
      <c r="E288" s="4"/>
      <c r="F288" s="4"/>
      <c r="G288" s="4"/>
    </row>
    <row r="289" spans="2:7" ht="14.1" customHeight="1" x14ac:dyDescent="0.3">
      <c r="B289" s="4">
        <v>81</v>
      </c>
      <c r="C289" s="61" t="s">
        <v>159</v>
      </c>
      <c r="D289" s="4"/>
      <c r="E289" s="4"/>
      <c r="F289" s="4"/>
      <c r="G289" s="4"/>
    </row>
    <row r="290" spans="2:7" ht="14.1" customHeight="1" x14ac:dyDescent="0.3">
      <c r="B290" s="4"/>
      <c r="C290" s="7" t="s">
        <v>11</v>
      </c>
      <c r="D290" s="4"/>
      <c r="E290" s="4"/>
      <c r="F290" s="2" t="s">
        <v>9</v>
      </c>
      <c r="G290" s="4">
        <v>16.82</v>
      </c>
    </row>
    <row r="291" spans="2:7" ht="14.1" customHeight="1" x14ac:dyDescent="0.3">
      <c r="B291" s="4"/>
      <c r="C291" s="4"/>
      <c r="D291" s="4"/>
      <c r="E291" s="4"/>
      <c r="F291" s="4"/>
      <c r="G291" s="4"/>
    </row>
    <row r="292" spans="2:7" ht="14.1" customHeight="1" x14ac:dyDescent="0.3">
      <c r="B292" s="4">
        <v>82</v>
      </c>
      <c r="C292" s="61" t="s">
        <v>45</v>
      </c>
      <c r="D292" s="4">
        <v>2</v>
      </c>
      <c r="E292" s="4">
        <v>7.16</v>
      </c>
      <c r="F292" s="4"/>
      <c r="G292" s="4">
        <v>14.33</v>
      </c>
    </row>
    <row r="293" spans="2:7" ht="14.1" customHeight="1" x14ac:dyDescent="0.3">
      <c r="B293" s="4"/>
      <c r="C293" s="4"/>
      <c r="D293" s="4">
        <v>2</v>
      </c>
      <c r="E293" s="4">
        <v>9.66</v>
      </c>
      <c r="F293" s="4"/>
      <c r="G293" s="4">
        <v>19.329999999999998</v>
      </c>
    </row>
    <row r="294" spans="2:7" ht="14.1" customHeight="1" x14ac:dyDescent="0.3">
      <c r="B294" s="4"/>
      <c r="C294" s="4"/>
      <c r="D294" s="4"/>
      <c r="E294" s="4"/>
      <c r="F294" s="2" t="s">
        <v>9</v>
      </c>
      <c r="G294" s="4">
        <v>33.659999999999997</v>
      </c>
    </row>
    <row r="295" spans="2:7" ht="14.1" customHeight="1" x14ac:dyDescent="0.3">
      <c r="B295" s="4"/>
      <c r="C295" s="4"/>
      <c r="D295" s="4"/>
      <c r="E295" s="4"/>
      <c r="F295" s="4"/>
      <c r="G295" s="4"/>
    </row>
    <row r="296" spans="2:7" ht="14.1" customHeight="1" x14ac:dyDescent="0.3">
      <c r="B296" s="4">
        <v>83</v>
      </c>
      <c r="C296" s="61" t="s">
        <v>160</v>
      </c>
      <c r="D296" s="4">
        <v>1</v>
      </c>
      <c r="E296" s="4">
        <v>1</v>
      </c>
      <c r="F296" s="4"/>
      <c r="G296" s="4">
        <v>1</v>
      </c>
    </row>
    <row r="297" spans="2:7" ht="14.1" customHeight="1" x14ac:dyDescent="0.3">
      <c r="B297" s="4"/>
      <c r="C297" s="4"/>
      <c r="D297" s="4"/>
      <c r="E297" s="4"/>
      <c r="F297" s="2" t="s">
        <v>9</v>
      </c>
      <c r="G297" s="4">
        <v>1</v>
      </c>
    </row>
    <row r="298" spans="2:7" ht="14.1" customHeight="1" x14ac:dyDescent="0.3">
      <c r="B298" s="4"/>
      <c r="C298" s="4"/>
      <c r="D298" s="4"/>
      <c r="E298" s="4"/>
      <c r="F298" s="4"/>
      <c r="G298" s="4"/>
    </row>
    <row r="299" spans="2:7" ht="14.1" customHeight="1" x14ac:dyDescent="0.3">
      <c r="B299" s="4">
        <v>84</v>
      </c>
      <c r="C299" s="61" t="s">
        <v>157</v>
      </c>
      <c r="D299" s="4">
        <v>1</v>
      </c>
      <c r="E299" s="4">
        <v>3.5</v>
      </c>
      <c r="F299" s="4"/>
      <c r="G299" s="4">
        <v>3.5</v>
      </c>
    </row>
    <row r="300" spans="2:7" ht="14.1" customHeight="1" x14ac:dyDescent="0.3">
      <c r="B300" s="4"/>
      <c r="C300" s="4"/>
      <c r="D300" s="4"/>
      <c r="E300" s="4"/>
      <c r="F300" s="2" t="s">
        <v>9</v>
      </c>
      <c r="G300" s="4">
        <v>3.5</v>
      </c>
    </row>
    <row r="301" spans="2:7" ht="14.1" customHeight="1" x14ac:dyDescent="0.3">
      <c r="B301" s="4"/>
      <c r="C301" s="4"/>
      <c r="D301" s="4"/>
      <c r="E301" s="4"/>
      <c r="F301" s="4"/>
      <c r="G301" s="4"/>
    </row>
    <row r="302" spans="2:7" ht="14.1" customHeight="1" x14ac:dyDescent="0.3">
      <c r="B302" s="4">
        <v>85</v>
      </c>
      <c r="C302" s="61" t="s">
        <v>158</v>
      </c>
      <c r="D302" s="4">
        <v>1</v>
      </c>
      <c r="E302" s="4">
        <v>5.58</v>
      </c>
      <c r="F302" s="4"/>
      <c r="G302" s="4">
        <v>5.58</v>
      </c>
    </row>
    <row r="303" spans="2:7" ht="14.1" customHeight="1" x14ac:dyDescent="0.3">
      <c r="B303" s="4"/>
      <c r="C303" s="4"/>
      <c r="D303" s="4">
        <v>2</v>
      </c>
      <c r="E303" s="4">
        <v>2.5</v>
      </c>
      <c r="F303" s="4"/>
      <c r="G303" s="4">
        <v>5</v>
      </c>
    </row>
    <row r="304" spans="2:7" ht="14.1" customHeight="1" x14ac:dyDescent="0.3">
      <c r="B304" s="4"/>
      <c r="C304" s="4"/>
      <c r="D304" s="4">
        <v>2</v>
      </c>
      <c r="E304" s="4">
        <v>3.5</v>
      </c>
      <c r="F304" s="4"/>
      <c r="G304" s="4">
        <v>7</v>
      </c>
    </row>
    <row r="305" spans="2:7" ht="14.1" customHeight="1" x14ac:dyDescent="0.3">
      <c r="B305" s="4"/>
      <c r="C305" s="4"/>
      <c r="D305" s="4"/>
      <c r="E305" s="4"/>
      <c r="F305" s="2" t="s">
        <v>9</v>
      </c>
      <c r="G305" s="4">
        <v>17.579999999999998</v>
      </c>
    </row>
    <row r="306" spans="2:7" ht="14.1" customHeight="1" x14ac:dyDescent="0.3">
      <c r="B306" s="4"/>
      <c r="C306" s="4"/>
      <c r="D306" s="4"/>
      <c r="E306" s="4"/>
      <c r="F306" s="4"/>
      <c r="G306" s="4"/>
    </row>
    <row r="307" spans="2:7" ht="14.1" customHeight="1" x14ac:dyDescent="0.3">
      <c r="B307" s="4">
        <v>86</v>
      </c>
      <c r="C307" s="61" t="s">
        <v>159</v>
      </c>
      <c r="D307" s="4">
        <v>1</v>
      </c>
      <c r="E307" s="4">
        <v>5.58</v>
      </c>
      <c r="F307" s="4"/>
      <c r="G307" s="4">
        <v>5.58</v>
      </c>
    </row>
    <row r="308" spans="2:7" ht="14.1" customHeight="1" x14ac:dyDescent="0.3">
      <c r="B308" s="4"/>
      <c r="C308" s="7" t="s">
        <v>11</v>
      </c>
      <c r="D308" s="4"/>
      <c r="E308" s="4"/>
      <c r="F308" s="2" t="s">
        <v>9</v>
      </c>
      <c r="G308" s="4">
        <v>5.58</v>
      </c>
    </row>
    <row r="309" spans="2:7" ht="14.1" customHeight="1" x14ac:dyDescent="0.3">
      <c r="B309" s="4"/>
      <c r="C309" s="4"/>
      <c r="D309" s="4"/>
      <c r="E309" s="4"/>
      <c r="F309" s="4"/>
      <c r="G309" s="4"/>
    </row>
    <row r="310" spans="2:7" ht="14.1" customHeight="1" x14ac:dyDescent="0.3">
      <c r="B310" s="4">
        <v>87</v>
      </c>
      <c r="C310" s="61" t="s">
        <v>45</v>
      </c>
      <c r="D310" s="4">
        <v>2</v>
      </c>
      <c r="E310" s="4">
        <v>5.58</v>
      </c>
      <c r="F310" s="4"/>
      <c r="G310" s="4">
        <v>11.16</v>
      </c>
    </row>
    <row r="311" spans="2:7" ht="14.1" customHeight="1" x14ac:dyDescent="0.3">
      <c r="B311" s="4"/>
      <c r="C311" s="4"/>
      <c r="D311" s="4"/>
      <c r="E311" s="4"/>
      <c r="F311" s="2" t="s">
        <v>9</v>
      </c>
      <c r="G311" s="4">
        <v>11.16</v>
      </c>
    </row>
    <row r="312" spans="2:7" ht="14.1" customHeight="1" x14ac:dyDescent="0.3">
      <c r="B312" s="4"/>
      <c r="C312" s="7"/>
      <c r="D312" s="7"/>
      <c r="E312" s="7"/>
      <c r="F312" s="7"/>
      <c r="G312" s="7"/>
    </row>
    <row r="313" spans="2:7" ht="14.1" customHeight="1" x14ac:dyDescent="0.3">
      <c r="B313" s="4">
        <v>88</v>
      </c>
      <c r="C313" s="7" t="s">
        <v>161</v>
      </c>
      <c r="D313" s="7"/>
      <c r="E313" s="7">
        <v>16</v>
      </c>
      <c r="F313" s="7">
        <v>2</v>
      </c>
      <c r="G313" s="7">
        <v>32</v>
      </c>
    </row>
    <row r="314" spans="2:7" ht="14.1" customHeight="1" x14ac:dyDescent="0.3">
      <c r="B314" s="4"/>
      <c r="C314" s="7"/>
      <c r="D314" s="7"/>
      <c r="E314" s="7">
        <v>2.58</v>
      </c>
      <c r="F314" s="7">
        <v>2.25</v>
      </c>
      <c r="G314" s="7">
        <v>5.8</v>
      </c>
    </row>
    <row r="315" spans="2:7" ht="14.1" customHeight="1" x14ac:dyDescent="0.3">
      <c r="B315" s="4"/>
      <c r="C315" s="7"/>
      <c r="D315" s="7"/>
      <c r="E315" s="7">
        <v>7.16</v>
      </c>
      <c r="F315" s="7">
        <v>2</v>
      </c>
      <c r="G315" s="7">
        <v>14.33</v>
      </c>
    </row>
    <row r="316" spans="2:7" ht="14.1" customHeight="1" x14ac:dyDescent="0.3">
      <c r="B316" s="4"/>
      <c r="C316" s="7"/>
      <c r="D316" s="7"/>
      <c r="E316" s="7"/>
      <c r="F316" s="2" t="s">
        <v>9</v>
      </c>
      <c r="G316" s="7">
        <v>52.13</v>
      </c>
    </row>
    <row r="317" spans="2:7" ht="14.1" customHeight="1" x14ac:dyDescent="0.3">
      <c r="B317" s="4"/>
      <c r="C317" s="7"/>
      <c r="D317" s="7"/>
      <c r="E317" s="7"/>
      <c r="F317" s="7"/>
      <c r="G317" s="7"/>
    </row>
    <row r="318" spans="2:7" ht="14.1" customHeight="1" x14ac:dyDescent="0.3">
      <c r="B318" s="4">
        <v>89</v>
      </c>
      <c r="C318" s="7" t="s">
        <v>162</v>
      </c>
      <c r="D318" s="7"/>
      <c r="E318" s="7">
        <v>7.41</v>
      </c>
      <c r="F318" s="7">
        <v>3.91</v>
      </c>
      <c r="G318" s="7">
        <v>27.91</v>
      </c>
    </row>
    <row r="319" spans="2:7" ht="14.1" customHeight="1" x14ac:dyDescent="0.3">
      <c r="B319" s="4"/>
      <c r="C319" s="7"/>
      <c r="D319" s="7"/>
      <c r="E319" s="7"/>
      <c r="F319" s="2" t="s">
        <v>9</v>
      </c>
      <c r="G319" s="7">
        <v>27.91</v>
      </c>
    </row>
    <row r="320" spans="2:7" ht="14.1" customHeight="1" x14ac:dyDescent="0.3">
      <c r="B320" s="4"/>
      <c r="C320" s="7"/>
      <c r="D320" s="7"/>
      <c r="E320" s="7"/>
      <c r="F320" s="7"/>
      <c r="G320" s="7"/>
    </row>
    <row r="321" spans="2:7" ht="14.1" customHeight="1" x14ac:dyDescent="0.3">
      <c r="B321" s="4">
        <v>90</v>
      </c>
      <c r="C321" s="7" t="s">
        <v>136</v>
      </c>
      <c r="D321" s="4"/>
      <c r="E321" s="5"/>
      <c r="F321" s="2"/>
      <c r="G321" s="5"/>
    </row>
    <row r="322" spans="2:7" ht="14.1" customHeight="1" x14ac:dyDescent="0.3">
      <c r="B322" s="4"/>
      <c r="C322" s="7" t="s">
        <v>11</v>
      </c>
      <c r="D322" s="4"/>
      <c r="E322" s="5"/>
      <c r="F322" s="2" t="s">
        <v>9</v>
      </c>
      <c r="G322" s="7">
        <v>27.91</v>
      </c>
    </row>
    <row r="323" spans="2:7" ht="14.1" customHeight="1" x14ac:dyDescent="0.3">
      <c r="B323" s="4"/>
      <c r="C323" s="4"/>
      <c r="D323" s="4"/>
      <c r="E323" s="4"/>
      <c r="F323" s="4"/>
      <c r="G323" s="4"/>
    </row>
    <row r="324" spans="2:7" ht="14.1" customHeight="1" x14ac:dyDescent="0.3">
      <c r="B324" s="4">
        <v>91</v>
      </c>
      <c r="C324" s="61" t="s">
        <v>149</v>
      </c>
      <c r="D324" s="4"/>
      <c r="E324" s="4"/>
      <c r="F324" s="4"/>
      <c r="G324" s="4"/>
    </row>
    <row r="325" spans="2:7" ht="14.1" customHeight="1" x14ac:dyDescent="0.3">
      <c r="B325" s="4"/>
      <c r="C325" s="7" t="s">
        <v>11</v>
      </c>
      <c r="D325" s="4"/>
      <c r="E325" s="4"/>
      <c r="F325" s="2" t="s">
        <v>9</v>
      </c>
      <c r="G325" s="7">
        <v>27.91</v>
      </c>
    </row>
    <row r="326" spans="2:7" ht="14.1" customHeight="1" x14ac:dyDescent="0.3">
      <c r="B326" s="4"/>
      <c r="C326" s="4"/>
      <c r="D326" s="4"/>
      <c r="E326" s="4"/>
      <c r="F326" s="4"/>
      <c r="G326" s="4"/>
    </row>
    <row r="327" spans="2:7" ht="14.1" customHeight="1" x14ac:dyDescent="0.3">
      <c r="B327" s="4">
        <v>92</v>
      </c>
      <c r="C327" s="7" t="s">
        <v>135</v>
      </c>
      <c r="D327" s="4"/>
      <c r="E327" s="4"/>
      <c r="F327" s="4"/>
      <c r="G327" s="4"/>
    </row>
    <row r="328" spans="2:7" ht="14.1" customHeight="1" x14ac:dyDescent="0.3">
      <c r="B328" s="4"/>
      <c r="C328" s="7" t="s">
        <v>11</v>
      </c>
      <c r="D328" s="4"/>
      <c r="E328" s="4"/>
      <c r="F328" s="2" t="s">
        <v>9</v>
      </c>
      <c r="G328" s="7">
        <v>27.91</v>
      </c>
    </row>
    <row r="329" spans="2:7" ht="14.1" customHeight="1" x14ac:dyDescent="0.3">
      <c r="B329" s="4"/>
      <c r="C329" s="4"/>
      <c r="D329" s="4"/>
      <c r="E329" s="4"/>
      <c r="F329" s="4"/>
      <c r="G329" s="4"/>
    </row>
    <row r="330" spans="2:7" ht="14.1" customHeight="1" x14ac:dyDescent="0.3">
      <c r="B330" s="4">
        <v>93</v>
      </c>
      <c r="C330" s="7" t="s">
        <v>137</v>
      </c>
      <c r="D330" s="4"/>
      <c r="E330" s="4"/>
      <c r="F330" s="4"/>
      <c r="G330" s="4"/>
    </row>
    <row r="331" spans="2:7" ht="14.1" customHeight="1" x14ac:dyDescent="0.3">
      <c r="B331" s="4"/>
      <c r="C331" s="7" t="s">
        <v>11</v>
      </c>
      <c r="D331" s="4"/>
      <c r="E331" s="4"/>
      <c r="F331" s="2" t="s">
        <v>9</v>
      </c>
      <c r="G331" s="7">
        <v>27.91</v>
      </c>
    </row>
    <row r="332" spans="2:7" ht="14.1" customHeight="1" x14ac:dyDescent="0.3">
      <c r="B332" s="4"/>
      <c r="C332" s="7"/>
      <c r="D332" s="7"/>
      <c r="E332" s="7"/>
      <c r="F332" s="7"/>
      <c r="G332" s="7"/>
    </row>
    <row r="333" spans="2:7" ht="14.1" customHeight="1" x14ac:dyDescent="0.3">
      <c r="B333" s="4">
        <v>94</v>
      </c>
      <c r="C333" s="7" t="s">
        <v>163</v>
      </c>
      <c r="D333" s="7"/>
      <c r="E333" s="7">
        <v>13.5</v>
      </c>
      <c r="F333" s="7">
        <v>3.16</v>
      </c>
      <c r="G333" s="7">
        <v>42.66</v>
      </c>
    </row>
    <row r="334" spans="2:7" ht="14.1" customHeight="1" x14ac:dyDescent="0.3">
      <c r="B334" s="4"/>
      <c r="C334" s="7"/>
      <c r="D334" s="7"/>
      <c r="E334" s="7">
        <v>3.16</v>
      </c>
      <c r="F334" s="7">
        <v>1</v>
      </c>
      <c r="G334" s="7">
        <v>3.16</v>
      </c>
    </row>
    <row r="335" spans="2:7" ht="14.1" customHeight="1" x14ac:dyDescent="0.3">
      <c r="B335" s="4"/>
      <c r="C335" s="7"/>
      <c r="D335" s="7"/>
      <c r="E335" s="7"/>
      <c r="F335" s="2" t="s">
        <v>9</v>
      </c>
      <c r="G335" s="7">
        <v>45.82</v>
      </c>
    </row>
    <row r="336" spans="2:7" ht="14.1" customHeight="1" x14ac:dyDescent="0.3">
      <c r="B336" s="4"/>
      <c r="C336" s="7"/>
      <c r="D336" s="7"/>
      <c r="E336" s="7"/>
      <c r="F336" s="7"/>
      <c r="G336" s="7"/>
    </row>
    <row r="337" spans="2:7" ht="14.1" customHeight="1" x14ac:dyDescent="0.3">
      <c r="B337" s="4">
        <v>95</v>
      </c>
      <c r="C337" s="7" t="s">
        <v>136</v>
      </c>
      <c r="D337" s="4"/>
      <c r="E337" s="5"/>
      <c r="F337" s="2"/>
      <c r="G337" s="5"/>
    </row>
    <row r="338" spans="2:7" ht="14.1" customHeight="1" x14ac:dyDescent="0.3">
      <c r="B338" s="4"/>
      <c r="C338" s="7" t="s">
        <v>11</v>
      </c>
      <c r="D338" s="4"/>
      <c r="E338" s="5"/>
      <c r="F338" s="2" t="s">
        <v>9</v>
      </c>
      <c r="G338" s="7">
        <v>45.82</v>
      </c>
    </row>
    <row r="339" spans="2:7" ht="14.1" customHeight="1" x14ac:dyDescent="0.3">
      <c r="B339" s="4"/>
      <c r="C339" s="4"/>
      <c r="D339" s="4"/>
      <c r="E339" s="4"/>
      <c r="F339" s="4"/>
      <c r="G339" s="4"/>
    </row>
    <row r="340" spans="2:7" ht="14.1" customHeight="1" x14ac:dyDescent="0.3">
      <c r="B340" s="4">
        <v>96</v>
      </c>
      <c r="C340" s="61" t="s">
        <v>149</v>
      </c>
      <c r="D340" s="4"/>
      <c r="E340" s="4"/>
      <c r="F340" s="4"/>
      <c r="G340" s="4"/>
    </row>
    <row r="341" spans="2:7" ht="14.1" customHeight="1" x14ac:dyDescent="0.3">
      <c r="B341" s="4"/>
      <c r="C341" s="7" t="s">
        <v>11</v>
      </c>
      <c r="D341" s="4"/>
      <c r="E341" s="4"/>
      <c r="F341" s="2" t="s">
        <v>9</v>
      </c>
      <c r="G341" s="7">
        <v>45.82</v>
      </c>
    </row>
    <row r="342" spans="2:7" ht="14.1" customHeight="1" x14ac:dyDescent="0.3">
      <c r="B342" s="4"/>
      <c r="C342" s="4"/>
      <c r="D342" s="4"/>
      <c r="E342" s="4"/>
      <c r="F342" s="4"/>
      <c r="G342" s="4"/>
    </row>
    <row r="343" spans="2:7" ht="14.1" customHeight="1" x14ac:dyDescent="0.3">
      <c r="B343" s="4">
        <v>97</v>
      </c>
      <c r="C343" s="7" t="s">
        <v>135</v>
      </c>
      <c r="D343" s="4"/>
      <c r="E343" s="4"/>
      <c r="F343" s="4"/>
      <c r="G343" s="4"/>
    </row>
    <row r="344" spans="2:7" ht="14.1" customHeight="1" x14ac:dyDescent="0.3">
      <c r="B344" s="4"/>
      <c r="C344" s="7" t="s">
        <v>11</v>
      </c>
      <c r="D344" s="4"/>
      <c r="E344" s="4"/>
      <c r="F344" s="2" t="s">
        <v>9</v>
      </c>
      <c r="G344" s="7">
        <v>45.82</v>
      </c>
    </row>
    <row r="345" spans="2:7" ht="14.1" customHeight="1" x14ac:dyDescent="0.3">
      <c r="B345" s="4"/>
      <c r="C345" s="4"/>
      <c r="D345" s="4"/>
      <c r="E345" s="4"/>
      <c r="F345" s="4"/>
      <c r="G345" s="4"/>
    </row>
    <row r="346" spans="2:7" ht="14.1" customHeight="1" x14ac:dyDescent="0.3">
      <c r="B346" s="4">
        <v>98</v>
      </c>
      <c r="C346" s="7" t="s">
        <v>137</v>
      </c>
      <c r="D346" s="4"/>
      <c r="E346" s="4"/>
      <c r="F346" s="4"/>
      <c r="G346" s="4"/>
    </row>
    <row r="347" spans="2:7" ht="14.1" customHeight="1" x14ac:dyDescent="0.3">
      <c r="B347" s="4"/>
      <c r="C347" s="7" t="s">
        <v>11</v>
      </c>
      <c r="D347" s="4"/>
      <c r="E347" s="4"/>
      <c r="F347" s="2" t="s">
        <v>9</v>
      </c>
      <c r="G347" s="7">
        <v>45.82</v>
      </c>
    </row>
    <row r="348" spans="2:7" ht="14.1" customHeight="1" x14ac:dyDescent="0.3">
      <c r="B348" s="4"/>
      <c r="C348" s="7"/>
      <c r="D348" s="7"/>
      <c r="E348" s="7"/>
      <c r="F348" s="7"/>
      <c r="G348" s="7"/>
    </row>
    <row r="349" spans="2:7" ht="14.1" customHeight="1" x14ac:dyDescent="0.3">
      <c r="B349" s="4">
        <v>99</v>
      </c>
      <c r="C349" s="7" t="s">
        <v>142</v>
      </c>
      <c r="D349" s="4">
        <v>1</v>
      </c>
      <c r="E349" s="4">
        <v>3.16</v>
      </c>
      <c r="F349" s="4"/>
      <c r="G349" s="4">
        <v>3.16</v>
      </c>
    </row>
    <row r="350" spans="2:7" ht="14.1" customHeight="1" x14ac:dyDescent="0.3">
      <c r="B350" s="4"/>
      <c r="C350" s="4"/>
      <c r="D350" s="4"/>
      <c r="E350" s="4"/>
      <c r="F350" s="2" t="s">
        <v>9</v>
      </c>
      <c r="G350" s="4">
        <v>3.16</v>
      </c>
    </row>
    <row r="351" spans="2:7" ht="14.1" customHeight="1" x14ac:dyDescent="0.3">
      <c r="B351" s="4"/>
      <c r="C351" s="7"/>
      <c r="D351" s="7"/>
      <c r="E351" s="7"/>
      <c r="F351" s="7"/>
      <c r="G351" s="7"/>
    </row>
    <row r="352" spans="2:7" ht="14.1" customHeight="1" x14ac:dyDescent="0.3">
      <c r="B352" s="4">
        <v>100</v>
      </c>
      <c r="C352" s="7" t="s">
        <v>164</v>
      </c>
      <c r="D352" s="7">
        <v>2</v>
      </c>
      <c r="E352" s="7"/>
      <c r="F352" s="7"/>
      <c r="G352" s="7"/>
    </row>
    <row r="353" spans="2:7" ht="14.1" customHeight="1" x14ac:dyDescent="0.3">
      <c r="B353" s="4"/>
      <c r="C353" s="7"/>
      <c r="D353" s="7"/>
      <c r="E353" s="7"/>
      <c r="F353" s="7"/>
      <c r="G353" s="7"/>
    </row>
    <row r="354" spans="2:7" ht="14.1" customHeight="1" x14ac:dyDescent="0.3">
      <c r="B354" s="4">
        <v>101</v>
      </c>
      <c r="C354" s="7" t="s">
        <v>141</v>
      </c>
      <c r="D354" s="60">
        <v>1</v>
      </c>
      <c r="E354" s="7">
        <v>3.16</v>
      </c>
      <c r="F354" s="7"/>
      <c r="G354" s="7">
        <v>3.16</v>
      </c>
    </row>
    <row r="355" spans="2:7" ht="14.1" customHeight="1" x14ac:dyDescent="0.3">
      <c r="B355" s="4"/>
      <c r="C355" s="7" t="s">
        <v>156</v>
      </c>
      <c r="D355" s="60"/>
      <c r="E355" s="7"/>
      <c r="F355" s="33" t="s">
        <v>9</v>
      </c>
      <c r="G355" s="7">
        <v>3.16</v>
      </c>
    </row>
    <row r="356" spans="2:7" ht="14.1" customHeight="1" x14ac:dyDescent="0.3">
      <c r="B356" s="4"/>
      <c r="C356" s="7"/>
      <c r="D356" s="60"/>
      <c r="E356" s="7"/>
      <c r="F356" s="7"/>
      <c r="G356" s="7"/>
    </row>
    <row r="357" spans="2:7" ht="14.1" customHeight="1" x14ac:dyDescent="0.3">
      <c r="B357" s="4">
        <v>102</v>
      </c>
      <c r="C357" s="7" t="s">
        <v>136</v>
      </c>
      <c r="D357" s="4"/>
      <c r="E357" s="5"/>
      <c r="F357" s="2"/>
      <c r="G357" s="5"/>
    </row>
    <row r="358" spans="2:7" ht="14.1" customHeight="1" x14ac:dyDescent="0.3">
      <c r="B358" s="4"/>
      <c r="C358" s="7" t="s">
        <v>11</v>
      </c>
      <c r="D358" s="4"/>
      <c r="E358" s="5"/>
      <c r="F358" s="2" t="s">
        <v>9</v>
      </c>
      <c r="G358" s="7">
        <v>3.16</v>
      </c>
    </row>
    <row r="359" spans="2:7" ht="14.1" customHeight="1" x14ac:dyDescent="0.3">
      <c r="B359" s="4"/>
      <c r="C359" s="7"/>
      <c r="D359" s="60"/>
      <c r="E359" s="7"/>
      <c r="F359" s="7"/>
      <c r="G359" s="7"/>
    </row>
    <row r="360" spans="2:7" ht="14.1" customHeight="1" x14ac:dyDescent="0.3">
      <c r="B360" s="4">
        <v>103</v>
      </c>
      <c r="C360" s="61" t="s">
        <v>149</v>
      </c>
      <c r="D360" s="4"/>
      <c r="E360" s="4"/>
      <c r="F360" s="4"/>
      <c r="G360" s="4"/>
    </row>
    <row r="361" spans="2:7" ht="14.1" customHeight="1" x14ac:dyDescent="0.3">
      <c r="B361" s="4"/>
      <c r="C361" s="7" t="s">
        <v>11</v>
      </c>
      <c r="D361" s="4"/>
      <c r="E361" s="4"/>
      <c r="F361" s="2" t="s">
        <v>9</v>
      </c>
      <c r="G361" s="7">
        <v>3.16</v>
      </c>
    </row>
    <row r="362" spans="2:7" ht="14.1" customHeight="1" x14ac:dyDescent="0.3">
      <c r="B362" s="4"/>
      <c r="C362" s="7"/>
      <c r="D362" s="7"/>
      <c r="E362" s="7"/>
      <c r="F362" s="7"/>
      <c r="G362" s="7"/>
    </row>
    <row r="363" spans="2:7" ht="14.1" customHeight="1" x14ac:dyDescent="0.3">
      <c r="B363" s="4">
        <v>104</v>
      </c>
      <c r="C363" s="61" t="s">
        <v>158</v>
      </c>
      <c r="D363" s="4">
        <v>1</v>
      </c>
      <c r="E363" s="4">
        <v>5.25</v>
      </c>
      <c r="F363" s="4"/>
      <c r="G363" s="4">
        <v>5.25</v>
      </c>
    </row>
    <row r="364" spans="2:7" ht="14.1" customHeight="1" x14ac:dyDescent="0.3">
      <c r="B364" s="4"/>
      <c r="C364" s="4"/>
      <c r="D364" s="4"/>
      <c r="E364" s="4"/>
      <c r="F364" s="2" t="s">
        <v>9</v>
      </c>
      <c r="G364" s="4">
        <v>5.25</v>
      </c>
    </row>
    <row r="365" spans="2:7" ht="14.1" customHeight="1" x14ac:dyDescent="0.3">
      <c r="B365" s="4"/>
      <c r="C365" s="7"/>
      <c r="D365" s="7"/>
      <c r="E365" s="7"/>
      <c r="F365" s="7"/>
      <c r="G365" s="7"/>
    </row>
    <row r="366" spans="2:7" ht="14.1" customHeight="1" x14ac:dyDescent="0.3">
      <c r="B366" s="4">
        <v>105</v>
      </c>
      <c r="C366" s="7" t="s">
        <v>45</v>
      </c>
      <c r="D366" s="7">
        <v>1</v>
      </c>
      <c r="E366" s="4">
        <v>5.25</v>
      </c>
      <c r="F366" s="7"/>
      <c r="G366" s="4">
        <v>5.25</v>
      </c>
    </row>
    <row r="367" spans="2:7" ht="14.1" customHeight="1" x14ac:dyDescent="0.3">
      <c r="B367" s="4"/>
      <c r="C367" s="7"/>
      <c r="D367" s="7"/>
      <c r="E367" s="7"/>
      <c r="F367" s="2" t="s">
        <v>9</v>
      </c>
      <c r="G367" s="4">
        <v>5.25</v>
      </c>
    </row>
    <row r="368" spans="2:7" ht="14.1" customHeight="1" x14ac:dyDescent="0.3">
      <c r="B368" s="4"/>
      <c r="C368" s="7"/>
      <c r="D368" s="7"/>
      <c r="E368" s="7"/>
      <c r="F368" s="7"/>
      <c r="G368" s="7"/>
    </row>
    <row r="369" spans="2:7" ht="14.1" customHeight="1" x14ac:dyDescent="0.3">
      <c r="B369" s="4">
        <v>106</v>
      </c>
      <c r="C369" s="7" t="s">
        <v>165</v>
      </c>
      <c r="D369" s="7">
        <v>2</v>
      </c>
      <c r="E369" s="7">
        <v>2.5</v>
      </c>
      <c r="F369" s="7">
        <v>1.25</v>
      </c>
      <c r="G369" s="7">
        <v>6.12</v>
      </c>
    </row>
    <row r="370" spans="2:7" ht="14.1" customHeight="1" x14ac:dyDescent="0.3">
      <c r="B370" s="4"/>
      <c r="C370" s="7"/>
      <c r="D370" s="7"/>
      <c r="E370" s="7"/>
      <c r="F370" s="2" t="s">
        <v>9</v>
      </c>
      <c r="G370" s="74">
        <v>6.12</v>
      </c>
    </row>
    <row r="371" spans="2:7" ht="14.1" customHeight="1" x14ac:dyDescent="0.3">
      <c r="B371" s="4"/>
      <c r="C371" s="7"/>
      <c r="D371" s="7"/>
      <c r="E371" s="7"/>
      <c r="F371" s="7"/>
      <c r="G371" s="7"/>
    </row>
    <row r="372" spans="2:7" ht="14.1" customHeight="1" x14ac:dyDescent="0.3">
      <c r="B372" s="4">
        <v>107</v>
      </c>
      <c r="C372" s="7" t="s">
        <v>45</v>
      </c>
      <c r="D372" s="7">
        <v>2</v>
      </c>
      <c r="E372" s="7">
        <v>2.5</v>
      </c>
      <c r="F372" s="7"/>
      <c r="G372" s="7">
        <v>5</v>
      </c>
    </row>
    <row r="373" spans="2:7" ht="14.1" customHeight="1" x14ac:dyDescent="0.3">
      <c r="B373" s="4"/>
      <c r="C373" s="7"/>
      <c r="D373" s="7"/>
      <c r="E373" s="7"/>
      <c r="F373" s="2" t="s">
        <v>9</v>
      </c>
      <c r="G373" s="7">
        <v>5</v>
      </c>
    </row>
    <row r="374" spans="2:7" ht="14.1" customHeight="1" x14ac:dyDescent="0.3">
      <c r="B374" s="4"/>
      <c r="C374" s="7"/>
      <c r="D374" s="7"/>
      <c r="E374" s="7"/>
      <c r="F374" s="7"/>
      <c r="G374" s="7"/>
    </row>
    <row r="375" spans="2:7" ht="14.1" customHeight="1" x14ac:dyDescent="0.3">
      <c r="B375" s="4">
        <v>108</v>
      </c>
      <c r="C375" s="7" t="s">
        <v>166</v>
      </c>
      <c r="D375" s="7">
        <v>1</v>
      </c>
      <c r="E375" s="7">
        <v>5.66</v>
      </c>
      <c r="F375" s="7"/>
      <c r="G375" s="7">
        <v>5.66</v>
      </c>
    </row>
    <row r="376" spans="2:7" ht="14.1" customHeight="1" x14ac:dyDescent="0.3">
      <c r="B376" s="4"/>
      <c r="C376" s="7"/>
      <c r="D376" s="7">
        <v>3</v>
      </c>
      <c r="E376" s="7">
        <v>3.83</v>
      </c>
      <c r="F376" s="7"/>
      <c r="G376" s="7">
        <v>11.49</v>
      </c>
    </row>
    <row r="377" spans="2:7" ht="14.1" customHeight="1" x14ac:dyDescent="0.3">
      <c r="B377" s="4"/>
      <c r="C377" s="7"/>
      <c r="D377" s="7">
        <v>2</v>
      </c>
      <c r="E377" s="7">
        <v>1.1599999999999999</v>
      </c>
      <c r="F377" s="7"/>
      <c r="G377" s="7">
        <v>2.33</v>
      </c>
    </row>
    <row r="378" spans="2:7" ht="14.1" customHeight="1" x14ac:dyDescent="0.3">
      <c r="B378" s="4"/>
      <c r="C378" s="7"/>
      <c r="D378" s="7"/>
      <c r="E378" s="7"/>
      <c r="F378" s="2" t="s">
        <v>9</v>
      </c>
      <c r="G378" s="7">
        <v>19.48</v>
      </c>
    </row>
    <row r="379" spans="2:7" ht="14.1" customHeight="1" x14ac:dyDescent="0.3">
      <c r="B379" s="4"/>
      <c r="C379" s="7"/>
      <c r="D379" s="7"/>
      <c r="E379" s="7"/>
      <c r="F379" s="2"/>
      <c r="G379" s="7"/>
    </row>
    <row r="380" spans="2:7" ht="14.1" customHeight="1" x14ac:dyDescent="0.3">
      <c r="B380" s="4">
        <v>109</v>
      </c>
      <c r="C380" s="7" t="s">
        <v>45</v>
      </c>
      <c r="D380" s="7"/>
      <c r="E380" s="7">
        <v>2.5</v>
      </c>
      <c r="F380" s="2"/>
      <c r="G380" s="7">
        <v>2.5</v>
      </c>
    </row>
    <row r="381" spans="2:7" ht="14.1" customHeight="1" x14ac:dyDescent="0.3">
      <c r="B381" s="4"/>
      <c r="C381" s="7"/>
      <c r="D381" s="7"/>
      <c r="E381" s="7">
        <v>2.66</v>
      </c>
      <c r="F381" s="2"/>
      <c r="G381" s="7">
        <v>2.66</v>
      </c>
    </row>
    <row r="382" spans="2:7" ht="14.1" customHeight="1" x14ac:dyDescent="0.3">
      <c r="B382" s="4"/>
      <c r="C382" s="7"/>
      <c r="D382" s="7"/>
      <c r="E382" s="7">
        <v>4</v>
      </c>
      <c r="F382" s="2"/>
      <c r="G382" s="7">
        <v>4</v>
      </c>
    </row>
    <row r="383" spans="2:7" ht="14.1" customHeight="1" x14ac:dyDescent="0.3">
      <c r="B383" s="4"/>
      <c r="C383" s="7"/>
      <c r="D383" s="7"/>
      <c r="E383" s="7"/>
      <c r="F383" s="2" t="s">
        <v>9</v>
      </c>
      <c r="G383" s="7">
        <v>9.16</v>
      </c>
    </row>
    <row r="384" spans="2:7" ht="14.1" customHeight="1" x14ac:dyDescent="0.3">
      <c r="B384" s="4"/>
      <c r="C384" s="7"/>
      <c r="D384" s="7"/>
      <c r="E384" s="7"/>
      <c r="F384" s="2"/>
      <c r="G384" s="7"/>
    </row>
    <row r="385" spans="2:7" ht="14.1" customHeight="1" x14ac:dyDescent="0.3">
      <c r="B385" s="4"/>
      <c r="C385" s="7"/>
      <c r="D385" s="7"/>
      <c r="E385" s="7"/>
      <c r="F385" s="7"/>
      <c r="G385" s="7"/>
    </row>
    <row r="386" spans="2:7" ht="14.1" customHeight="1" x14ac:dyDescent="0.3">
      <c r="B386" s="4">
        <v>106</v>
      </c>
      <c r="C386" s="12" t="s">
        <v>162</v>
      </c>
      <c r="D386" s="7"/>
      <c r="E386" s="7">
        <v>7.41</v>
      </c>
      <c r="F386" s="7">
        <v>3.91</v>
      </c>
      <c r="G386" s="7">
        <v>27.91</v>
      </c>
    </row>
    <row r="387" spans="2:7" ht="14.1" customHeight="1" x14ac:dyDescent="0.3">
      <c r="B387" s="4"/>
      <c r="C387" s="12" t="s">
        <v>167</v>
      </c>
      <c r="D387" s="7"/>
      <c r="E387" s="7"/>
      <c r="F387" s="7"/>
      <c r="G387" s="7"/>
    </row>
    <row r="388" spans="2:7" ht="14.1" customHeight="1" x14ac:dyDescent="0.3">
      <c r="B388" s="4"/>
      <c r="C388" s="12"/>
      <c r="D388" s="7"/>
      <c r="E388" s="7"/>
      <c r="F388" s="7"/>
      <c r="G388" s="7"/>
    </row>
    <row r="389" spans="2:7" ht="14.1" customHeight="1" x14ac:dyDescent="0.3">
      <c r="B389" s="4"/>
      <c r="C389" s="7"/>
      <c r="D389" s="7"/>
      <c r="E389" s="7"/>
      <c r="F389" s="2" t="s">
        <v>9</v>
      </c>
      <c r="G389" s="7">
        <v>27.91</v>
      </c>
    </row>
    <row r="390" spans="2:7" ht="14.1" customHeight="1" x14ac:dyDescent="0.3">
      <c r="B390" s="4"/>
      <c r="C390" s="7"/>
      <c r="D390" s="7"/>
      <c r="E390" s="7"/>
      <c r="F390" s="7"/>
      <c r="G390" s="7"/>
    </row>
    <row r="391" spans="2:7" ht="14.1" customHeight="1" x14ac:dyDescent="0.3">
      <c r="B391" s="4"/>
      <c r="C391" s="7" t="s">
        <v>136</v>
      </c>
      <c r="D391" s="4"/>
      <c r="E391" s="5"/>
      <c r="F391" s="2"/>
      <c r="G391" s="5"/>
    </row>
    <row r="392" spans="2:7" ht="14.1" customHeight="1" x14ac:dyDescent="0.3">
      <c r="B392" s="4"/>
      <c r="C392" s="7" t="s">
        <v>11</v>
      </c>
      <c r="D392" s="4"/>
      <c r="E392" s="5"/>
      <c r="F392" s="2" t="s">
        <v>9</v>
      </c>
      <c r="G392" s="7">
        <v>27.91</v>
      </c>
    </row>
    <row r="393" spans="2:7" ht="14.1" customHeight="1" x14ac:dyDescent="0.3">
      <c r="B393" s="4"/>
      <c r="C393" s="4"/>
      <c r="D393" s="4"/>
      <c r="E393" s="4"/>
      <c r="F393" s="4"/>
      <c r="G393" s="4"/>
    </row>
    <row r="394" spans="2:7" ht="14.1" customHeight="1" x14ac:dyDescent="0.3">
      <c r="B394" s="4"/>
      <c r="C394" s="61" t="s">
        <v>149</v>
      </c>
      <c r="D394" s="4"/>
      <c r="E394" s="4"/>
      <c r="F394" s="4"/>
      <c r="G394" s="4"/>
    </row>
    <row r="395" spans="2:7" ht="14.1" customHeight="1" x14ac:dyDescent="0.3">
      <c r="B395" s="4"/>
      <c r="C395" s="7" t="s">
        <v>11</v>
      </c>
      <c r="D395" s="4"/>
      <c r="E395" s="4"/>
      <c r="F395" s="2" t="s">
        <v>9</v>
      </c>
      <c r="G395" s="7">
        <v>27.91</v>
      </c>
    </row>
    <row r="396" spans="2:7" ht="14.1" customHeight="1" x14ac:dyDescent="0.3">
      <c r="B396" s="4">
        <f>+B386+1</f>
        <v>107</v>
      </c>
      <c r="C396" s="4"/>
      <c r="D396" s="4"/>
      <c r="E396" s="4"/>
      <c r="F396" s="4"/>
      <c r="G396" s="4"/>
    </row>
    <row r="397" spans="2:7" ht="14.1" customHeight="1" x14ac:dyDescent="0.3">
      <c r="B397" s="4"/>
      <c r="C397" s="7" t="s">
        <v>135</v>
      </c>
      <c r="D397" s="4"/>
      <c r="E397" s="4"/>
      <c r="F397" s="4"/>
      <c r="G397" s="4"/>
    </row>
    <row r="398" spans="2:7" ht="14.1" customHeight="1" x14ac:dyDescent="0.3">
      <c r="B398" s="4"/>
      <c r="C398" s="7" t="s">
        <v>11</v>
      </c>
      <c r="D398" s="4"/>
      <c r="E398" s="4"/>
      <c r="F398" s="2" t="s">
        <v>9</v>
      </c>
      <c r="G398" s="7">
        <v>27.91</v>
      </c>
    </row>
    <row r="399" spans="2:7" ht="14.1" customHeight="1" x14ac:dyDescent="0.3">
      <c r="B399" s="4"/>
      <c r="C399" s="4"/>
      <c r="D399" s="4"/>
      <c r="E399" s="4"/>
      <c r="F399" s="4"/>
      <c r="G399" s="4"/>
    </row>
    <row r="400" spans="2:7" ht="14.1" customHeight="1" x14ac:dyDescent="0.3">
      <c r="B400" s="4"/>
      <c r="C400" s="7" t="s">
        <v>137</v>
      </c>
      <c r="D400" s="4"/>
      <c r="E400" s="4"/>
      <c r="F400" s="4"/>
      <c r="G400" s="4"/>
    </row>
    <row r="401" spans="2:7" ht="14.1" customHeight="1" x14ac:dyDescent="0.3">
      <c r="B401" s="4"/>
      <c r="C401" s="7" t="s">
        <v>11</v>
      </c>
      <c r="D401" s="4"/>
      <c r="E401" s="4"/>
      <c r="F401" s="2" t="s">
        <v>9</v>
      </c>
      <c r="G401" s="7">
        <v>27.91</v>
      </c>
    </row>
    <row r="402" spans="2:7" ht="14.1" customHeight="1" x14ac:dyDescent="0.3">
      <c r="B402" s="4"/>
      <c r="C402" s="7"/>
      <c r="D402" s="7"/>
      <c r="E402" s="7"/>
      <c r="F402" s="7"/>
      <c r="G402" s="7"/>
    </row>
    <row r="403" spans="2:7" ht="14.1" customHeight="1" x14ac:dyDescent="0.3">
      <c r="B403" s="4"/>
      <c r="C403" s="7"/>
      <c r="D403" s="7"/>
      <c r="E403" s="7"/>
      <c r="F403" s="7"/>
      <c r="G403" s="7"/>
    </row>
    <row r="404" spans="2:7" ht="14.1" customHeight="1" x14ac:dyDescent="0.3">
      <c r="B404" s="4">
        <f>+B396+1</f>
        <v>108</v>
      </c>
      <c r="C404" s="7" t="s">
        <v>45</v>
      </c>
      <c r="D404" s="7"/>
      <c r="E404" s="7">
        <v>5.75</v>
      </c>
      <c r="F404" s="7"/>
      <c r="G404" s="7">
        <v>5.75</v>
      </c>
    </row>
    <row r="405" spans="2:7" ht="14.1" customHeight="1" x14ac:dyDescent="0.3">
      <c r="B405" s="4"/>
      <c r="C405" s="7"/>
      <c r="D405" s="7"/>
      <c r="E405" s="7">
        <v>2.33</v>
      </c>
      <c r="F405" s="7"/>
      <c r="G405" s="7">
        <v>2.33</v>
      </c>
    </row>
    <row r="406" spans="2:7" ht="14.1" customHeight="1" x14ac:dyDescent="0.3">
      <c r="B406" s="4"/>
      <c r="C406" s="7"/>
      <c r="D406" s="7"/>
      <c r="E406" s="7"/>
      <c r="F406" s="2" t="s">
        <v>9</v>
      </c>
      <c r="G406" s="7">
        <v>8.08</v>
      </c>
    </row>
    <row r="407" spans="2:7" ht="14.1" customHeight="1" x14ac:dyDescent="0.3">
      <c r="B407" s="4"/>
      <c r="C407" s="7"/>
      <c r="D407" s="7"/>
      <c r="E407" s="7"/>
      <c r="F407" s="7"/>
      <c r="G407" s="7"/>
    </row>
    <row r="408" spans="2:7" ht="14.1" customHeight="1" x14ac:dyDescent="0.3">
      <c r="B408" s="4">
        <v>109</v>
      </c>
      <c r="C408" s="7" t="s">
        <v>168</v>
      </c>
      <c r="D408" s="7"/>
      <c r="E408" s="7">
        <v>13.66</v>
      </c>
      <c r="F408" s="7">
        <v>7.91</v>
      </c>
      <c r="G408" s="7">
        <v>108.05</v>
      </c>
    </row>
    <row r="409" spans="2:7" ht="14.1" customHeight="1" x14ac:dyDescent="0.3">
      <c r="B409" s="4"/>
      <c r="C409" s="7"/>
      <c r="D409" s="7">
        <v>-1</v>
      </c>
      <c r="E409" s="7">
        <v>3.16</v>
      </c>
      <c r="F409" s="7">
        <v>1.83</v>
      </c>
      <c r="G409" s="7">
        <v>5.78</v>
      </c>
    </row>
    <row r="410" spans="2:7" ht="14.1" customHeight="1" x14ac:dyDescent="0.3">
      <c r="B410" s="4"/>
      <c r="C410" s="7"/>
      <c r="D410" s="7"/>
      <c r="E410" s="7">
        <v>7.08</v>
      </c>
      <c r="F410" s="6">
        <v>1</v>
      </c>
      <c r="G410" s="7">
        <v>7.08</v>
      </c>
    </row>
    <row r="411" spans="2:7" ht="14.1" customHeight="1" x14ac:dyDescent="0.3">
      <c r="B411" s="4"/>
      <c r="C411" s="7"/>
      <c r="D411" s="7">
        <v>2</v>
      </c>
      <c r="E411" s="7">
        <v>8.5</v>
      </c>
      <c r="F411" s="7">
        <v>1</v>
      </c>
      <c r="G411" s="7">
        <v>17</v>
      </c>
    </row>
    <row r="412" spans="2:7" ht="14.1" customHeight="1" x14ac:dyDescent="0.3">
      <c r="B412" s="4"/>
      <c r="C412" s="7"/>
      <c r="D412" s="7">
        <v>1</v>
      </c>
      <c r="E412" s="7">
        <v>4.05</v>
      </c>
      <c r="F412" s="7">
        <v>1</v>
      </c>
      <c r="G412" s="7">
        <v>4.05</v>
      </c>
    </row>
    <row r="413" spans="2:7" ht="14.1" customHeight="1" x14ac:dyDescent="0.3">
      <c r="B413" s="4"/>
      <c r="C413" s="7"/>
      <c r="D413" s="7">
        <v>1</v>
      </c>
      <c r="E413" s="7">
        <v>10</v>
      </c>
      <c r="F413" s="7">
        <v>1</v>
      </c>
      <c r="G413" s="7">
        <v>10</v>
      </c>
    </row>
    <row r="414" spans="2:7" ht="14.1" customHeight="1" x14ac:dyDescent="0.3">
      <c r="B414" s="4"/>
      <c r="C414" s="7"/>
      <c r="D414" s="7">
        <v>1</v>
      </c>
      <c r="E414" s="7">
        <v>10.66</v>
      </c>
      <c r="F414" s="7">
        <v>1</v>
      </c>
      <c r="G414" s="7">
        <v>10.66</v>
      </c>
    </row>
    <row r="415" spans="2:7" ht="14.1" customHeight="1" x14ac:dyDescent="0.3">
      <c r="B415" s="4"/>
      <c r="C415" s="7"/>
      <c r="D415" s="7">
        <v>3</v>
      </c>
      <c r="E415" s="7">
        <v>5.25</v>
      </c>
      <c r="F415" s="2"/>
      <c r="G415" s="7">
        <v>15.75</v>
      </c>
    </row>
    <row r="416" spans="2:7" ht="14.1" customHeight="1" x14ac:dyDescent="0.3">
      <c r="B416" s="4"/>
      <c r="C416" s="7"/>
      <c r="D416" s="7">
        <v>4</v>
      </c>
      <c r="E416" s="7">
        <v>1</v>
      </c>
      <c r="F416" s="7"/>
      <c r="G416" s="7">
        <v>4</v>
      </c>
    </row>
    <row r="417" spans="2:7" ht="14.1" customHeight="1" x14ac:dyDescent="0.3">
      <c r="B417" s="4"/>
      <c r="C417" s="7"/>
      <c r="D417" s="7"/>
      <c r="E417" s="7"/>
      <c r="F417" s="2" t="s">
        <v>9</v>
      </c>
      <c r="G417" s="7">
        <v>170.81</v>
      </c>
    </row>
    <row r="418" spans="2:7" ht="14.1" customHeight="1" x14ac:dyDescent="0.3">
      <c r="B418" s="4"/>
      <c r="C418" s="7"/>
      <c r="D418" s="7"/>
      <c r="E418" s="7"/>
      <c r="F418" s="2"/>
      <c r="G418" s="7"/>
    </row>
    <row r="419" spans="2:7" ht="14.1" customHeight="1" x14ac:dyDescent="0.3">
      <c r="B419" s="4">
        <v>110</v>
      </c>
      <c r="C419" s="7" t="s">
        <v>136</v>
      </c>
      <c r="D419" s="4"/>
      <c r="E419" s="5"/>
      <c r="F419" s="2"/>
      <c r="G419" s="5"/>
    </row>
    <row r="420" spans="2:7" ht="14.1" customHeight="1" x14ac:dyDescent="0.3">
      <c r="B420" s="4"/>
      <c r="C420" s="7" t="s">
        <v>11</v>
      </c>
      <c r="D420" s="4"/>
      <c r="E420" s="5"/>
      <c r="F420" s="2" t="s">
        <v>9</v>
      </c>
      <c r="G420" s="7">
        <v>170.81</v>
      </c>
    </row>
    <row r="421" spans="2:7" ht="14.1" customHeight="1" x14ac:dyDescent="0.3">
      <c r="B421" s="4"/>
      <c r="C421" s="7"/>
      <c r="D421" s="60"/>
      <c r="E421" s="7"/>
      <c r="F421" s="7"/>
      <c r="G421" s="7"/>
    </row>
    <row r="422" spans="2:7" ht="14.1" customHeight="1" x14ac:dyDescent="0.3">
      <c r="B422" s="4">
        <v>111</v>
      </c>
      <c r="C422" s="61" t="s">
        <v>149</v>
      </c>
      <c r="D422" s="4"/>
      <c r="E422" s="4"/>
      <c r="F422" s="4"/>
      <c r="G422" s="4"/>
    </row>
    <row r="423" spans="2:7" ht="14.1" customHeight="1" x14ac:dyDescent="0.3">
      <c r="B423" s="4"/>
      <c r="C423" s="7" t="s">
        <v>11</v>
      </c>
      <c r="D423" s="4"/>
      <c r="E423" s="4"/>
      <c r="F423" s="2" t="s">
        <v>9</v>
      </c>
      <c r="G423" s="7">
        <v>170.81</v>
      </c>
    </row>
    <row r="424" spans="2:7" ht="14.1" customHeight="1" x14ac:dyDescent="0.3">
      <c r="B424" s="4"/>
      <c r="C424" s="7"/>
      <c r="D424" s="7"/>
      <c r="E424" s="7"/>
      <c r="F424" s="7"/>
      <c r="G424" s="7"/>
    </row>
    <row r="425" spans="2:7" ht="14.1" customHeight="1" x14ac:dyDescent="0.3">
      <c r="B425" s="4">
        <v>112</v>
      </c>
      <c r="C425" s="7" t="s">
        <v>169</v>
      </c>
      <c r="D425" s="7"/>
      <c r="E425" s="7">
        <v>7.08</v>
      </c>
      <c r="F425" s="7"/>
      <c r="G425" s="7">
        <v>7.08</v>
      </c>
    </row>
    <row r="426" spans="2:7" ht="14.1" customHeight="1" x14ac:dyDescent="0.3">
      <c r="B426" s="4"/>
      <c r="C426" s="7"/>
      <c r="D426" s="7"/>
      <c r="E426" s="7">
        <v>10</v>
      </c>
      <c r="F426" s="2"/>
      <c r="G426" s="7">
        <v>10</v>
      </c>
    </row>
    <row r="427" spans="2:7" ht="14.1" customHeight="1" x14ac:dyDescent="0.3">
      <c r="B427" s="4"/>
      <c r="C427" s="7"/>
      <c r="D427" s="7"/>
      <c r="E427" s="7">
        <v>8.5</v>
      </c>
      <c r="F427" s="7"/>
      <c r="G427" s="7">
        <v>8.5</v>
      </c>
    </row>
    <row r="428" spans="2:7" ht="14.1" customHeight="1" x14ac:dyDescent="0.3">
      <c r="B428" s="4"/>
      <c r="C428" s="7"/>
      <c r="D428" s="7"/>
      <c r="E428" s="7">
        <v>1</v>
      </c>
      <c r="F428" s="7"/>
      <c r="G428" s="7">
        <v>1</v>
      </c>
    </row>
    <row r="429" spans="2:7" ht="14.1" customHeight="1" x14ac:dyDescent="0.3">
      <c r="B429" s="4"/>
      <c r="C429" s="7"/>
      <c r="D429" s="7"/>
      <c r="E429" s="7"/>
      <c r="F429" s="2" t="s">
        <v>9</v>
      </c>
      <c r="G429" s="7">
        <v>26.58</v>
      </c>
    </row>
    <row r="430" spans="2:7" ht="14.1" customHeight="1" x14ac:dyDescent="0.3">
      <c r="B430" s="4"/>
      <c r="C430" s="7"/>
      <c r="D430" s="7"/>
      <c r="E430" s="7"/>
      <c r="F430" s="7"/>
      <c r="G430" s="7"/>
    </row>
    <row r="431" spans="2:7" ht="14.1" customHeight="1" x14ac:dyDescent="0.3">
      <c r="B431" s="4">
        <v>113</v>
      </c>
      <c r="C431" s="7" t="s">
        <v>45</v>
      </c>
      <c r="D431" s="7"/>
      <c r="E431" s="7">
        <v>10.66</v>
      </c>
      <c r="F431" s="7"/>
      <c r="G431" s="7">
        <v>10.66</v>
      </c>
    </row>
    <row r="432" spans="2:7" ht="14.1" customHeight="1" x14ac:dyDescent="0.3">
      <c r="B432" s="4"/>
      <c r="C432" s="7"/>
      <c r="D432" s="7">
        <v>3</v>
      </c>
      <c r="E432" s="7">
        <v>1</v>
      </c>
      <c r="F432" s="7"/>
      <c r="G432" s="7">
        <v>3</v>
      </c>
    </row>
    <row r="433" spans="2:7" ht="14.1" customHeight="1" x14ac:dyDescent="0.3">
      <c r="B433" s="4"/>
      <c r="C433" s="7"/>
      <c r="D433" s="7">
        <v>5</v>
      </c>
      <c r="E433" s="7">
        <v>1</v>
      </c>
      <c r="F433" s="7"/>
      <c r="G433" s="7">
        <v>5</v>
      </c>
    </row>
    <row r="434" spans="2:7" ht="14.1" customHeight="1" x14ac:dyDescent="0.3">
      <c r="B434" s="4"/>
      <c r="C434" s="7"/>
      <c r="D434" s="7">
        <v>2</v>
      </c>
      <c r="E434" s="7">
        <v>5.25</v>
      </c>
      <c r="F434" s="7"/>
      <c r="G434" s="7">
        <v>10.5</v>
      </c>
    </row>
    <row r="435" spans="2:7" ht="14.1" customHeight="1" x14ac:dyDescent="0.3">
      <c r="B435" s="4"/>
      <c r="C435" s="7"/>
      <c r="D435" s="7"/>
      <c r="E435" s="7"/>
      <c r="F435" s="2" t="s">
        <v>9</v>
      </c>
      <c r="G435" s="7">
        <v>29.16</v>
      </c>
    </row>
    <row r="436" spans="2:7" ht="14.1" customHeight="1" x14ac:dyDescent="0.3">
      <c r="B436" s="4"/>
      <c r="C436" s="7"/>
      <c r="D436" s="7"/>
      <c r="E436" s="7"/>
      <c r="F436" s="7"/>
      <c r="G436" s="7"/>
    </row>
    <row r="437" spans="2:7" ht="14.1" customHeight="1" x14ac:dyDescent="0.3">
      <c r="B437" s="4">
        <v>114</v>
      </c>
      <c r="C437" s="7" t="s">
        <v>170</v>
      </c>
      <c r="D437" s="7"/>
      <c r="E437" s="7">
        <v>10.75</v>
      </c>
      <c r="F437" s="7">
        <v>6.75</v>
      </c>
      <c r="G437" s="7">
        <v>72.56</v>
      </c>
    </row>
    <row r="438" spans="2:7" ht="14.1" customHeight="1" x14ac:dyDescent="0.3">
      <c r="B438" s="4"/>
      <c r="C438" s="7"/>
      <c r="D438" s="7"/>
      <c r="E438" s="7"/>
      <c r="F438" s="7" t="s">
        <v>9</v>
      </c>
      <c r="G438" s="7">
        <v>72.56</v>
      </c>
    </row>
    <row r="439" spans="2:7" ht="14.1" customHeight="1" x14ac:dyDescent="0.3">
      <c r="B439" s="4"/>
      <c r="C439" s="7"/>
      <c r="D439" s="7"/>
      <c r="E439" s="7"/>
      <c r="F439" s="7"/>
      <c r="G439" s="7"/>
    </row>
    <row r="440" spans="2:7" ht="14.1" customHeight="1" x14ac:dyDescent="0.3">
      <c r="B440" s="4">
        <v>115</v>
      </c>
      <c r="C440" s="7" t="s">
        <v>136</v>
      </c>
      <c r="D440" s="4"/>
      <c r="E440" s="5"/>
      <c r="F440" s="2"/>
      <c r="G440" s="5"/>
    </row>
    <row r="441" spans="2:7" ht="14.1" customHeight="1" x14ac:dyDescent="0.3">
      <c r="B441" s="4"/>
      <c r="C441" s="7" t="s">
        <v>11</v>
      </c>
      <c r="D441" s="4"/>
      <c r="E441" s="5"/>
      <c r="F441" s="2" t="s">
        <v>9</v>
      </c>
      <c r="G441" s="7">
        <v>72.56</v>
      </c>
    </row>
    <row r="442" spans="2:7" ht="14.1" customHeight="1" x14ac:dyDescent="0.3">
      <c r="B442" s="4"/>
      <c r="C442" s="4"/>
      <c r="D442" s="4"/>
      <c r="E442" s="4"/>
      <c r="F442" s="4"/>
      <c r="G442" s="4"/>
    </row>
    <row r="443" spans="2:7" ht="14.1" customHeight="1" x14ac:dyDescent="0.3">
      <c r="B443" s="4">
        <v>116</v>
      </c>
      <c r="C443" s="61" t="s">
        <v>149</v>
      </c>
      <c r="D443" s="4"/>
      <c r="E443" s="4"/>
      <c r="F443" s="4"/>
      <c r="G443" s="4"/>
    </row>
    <row r="444" spans="2:7" ht="14.1" customHeight="1" x14ac:dyDescent="0.3">
      <c r="B444" s="4"/>
      <c r="C444" s="7" t="s">
        <v>11</v>
      </c>
      <c r="D444" s="4"/>
      <c r="E444" s="4"/>
      <c r="F444" s="2" t="s">
        <v>9</v>
      </c>
      <c r="G444" s="7">
        <v>72.56</v>
      </c>
    </row>
    <row r="445" spans="2:7" ht="14.1" customHeight="1" x14ac:dyDescent="0.3">
      <c r="B445" s="4"/>
      <c r="C445" s="4"/>
      <c r="D445" s="4"/>
      <c r="E445" s="4"/>
      <c r="F445" s="4"/>
      <c r="G445" s="4"/>
    </row>
    <row r="446" spans="2:7" ht="14.1" customHeight="1" x14ac:dyDescent="0.3">
      <c r="B446" s="4">
        <v>117</v>
      </c>
      <c r="C446" s="61" t="s">
        <v>171</v>
      </c>
      <c r="D446" s="4"/>
      <c r="E446" s="4">
        <v>11</v>
      </c>
      <c r="F446" s="2" t="s">
        <v>9</v>
      </c>
      <c r="G446" s="4">
        <v>11</v>
      </c>
    </row>
    <row r="447" spans="2:7" ht="14.1" customHeight="1" x14ac:dyDescent="0.3">
      <c r="B447" s="4"/>
      <c r="C447" s="4"/>
      <c r="D447" s="4"/>
      <c r="E447" s="4"/>
      <c r="F447" s="2"/>
      <c r="G447" s="4"/>
    </row>
    <row r="448" spans="2:7" ht="14.1" customHeight="1" x14ac:dyDescent="0.3">
      <c r="B448" s="4">
        <v>118</v>
      </c>
      <c r="C448" s="61" t="s">
        <v>164</v>
      </c>
      <c r="D448" s="4"/>
      <c r="E448" s="4">
        <v>1</v>
      </c>
      <c r="F448" s="2" t="s">
        <v>9</v>
      </c>
      <c r="G448" s="4">
        <v>1</v>
      </c>
    </row>
    <row r="449" spans="2:7" ht="14.1" customHeight="1" x14ac:dyDescent="0.3">
      <c r="B449" s="4"/>
      <c r="C449" s="4"/>
      <c r="D449" s="4"/>
      <c r="E449" s="4"/>
      <c r="F449" s="4"/>
      <c r="G449" s="4"/>
    </row>
    <row r="450" spans="2:7" ht="14.1" customHeight="1" x14ac:dyDescent="0.3">
      <c r="B450" s="4">
        <v>119</v>
      </c>
      <c r="C450" s="61" t="s">
        <v>172</v>
      </c>
      <c r="D450" s="4">
        <v>1</v>
      </c>
      <c r="E450" s="4">
        <v>2.66</v>
      </c>
      <c r="F450" s="2" t="s">
        <v>9</v>
      </c>
      <c r="G450" s="4">
        <v>2.66</v>
      </c>
    </row>
    <row r="451" spans="2:7" ht="14.1" customHeight="1" x14ac:dyDescent="0.3">
      <c r="B451" s="4"/>
      <c r="C451" s="4"/>
      <c r="D451" s="4"/>
      <c r="E451" s="4"/>
      <c r="F451" s="4"/>
      <c r="G451" s="4"/>
    </row>
    <row r="452" spans="2:7" ht="14.1" customHeight="1" x14ac:dyDescent="0.3">
      <c r="B452" s="4"/>
      <c r="C452" s="4"/>
      <c r="D452" s="4"/>
      <c r="E452" s="4"/>
      <c r="F452" s="4"/>
      <c r="G452" s="4"/>
    </row>
    <row r="453" spans="2:7" ht="14.1" customHeight="1" x14ac:dyDescent="0.3">
      <c r="B453" s="4">
        <v>120</v>
      </c>
      <c r="C453" s="61" t="s">
        <v>45</v>
      </c>
      <c r="D453" s="4">
        <v>1</v>
      </c>
      <c r="E453" s="4">
        <v>4</v>
      </c>
      <c r="F453" s="2" t="s">
        <v>9</v>
      </c>
      <c r="G453" s="4">
        <v>4</v>
      </c>
    </row>
    <row r="454" spans="2:7" ht="14.1" customHeight="1" x14ac:dyDescent="0.3">
      <c r="B454" s="4"/>
      <c r="C454" s="4"/>
      <c r="D454" s="4"/>
      <c r="E454" s="4"/>
      <c r="F454" s="4"/>
      <c r="G454" s="4"/>
    </row>
    <row r="455" spans="2:7" ht="14.1" customHeight="1" x14ac:dyDescent="0.3">
      <c r="B455" s="4">
        <v>121</v>
      </c>
      <c r="C455" s="61" t="s">
        <v>173</v>
      </c>
      <c r="D455" s="4">
        <v>1</v>
      </c>
      <c r="E455" s="4">
        <v>3.16</v>
      </c>
      <c r="F455" s="4" t="s">
        <v>9</v>
      </c>
      <c r="G455" s="4">
        <v>3.16</v>
      </c>
    </row>
    <row r="456" spans="2:7" ht="14.1" customHeight="1" x14ac:dyDescent="0.3">
      <c r="B456" s="4"/>
      <c r="C456" s="4"/>
      <c r="D456" s="4"/>
      <c r="E456" s="4"/>
      <c r="F456" s="4"/>
      <c r="G456" s="4"/>
    </row>
    <row r="457" spans="2:7" ht="14.1" customHeight="1" x14ac:dyDescent="0.3">
      <c r="B457" s="4">
        <v>122</v>
      </c>
      <c r="C457" s="75" t="s">
        <v>174</v>
      </c>
      <c r="D457" s="4"/>
      <c r="E457" s="4"/>
      <c r="F457" s="4"/>
      <c r="G457" s="4"/>
    </row>
    <row r="458" spans="2:7" ht="14.1" customHeight="1" x14ac:dyDescent="0.3">
      <c r="B458" s="4"/>
      <c r="C458" s="4"/>
      <c r="D458" s="4"/>
      <c r="E458" s="4"/>
      <c r="F458" s="4"/>
      <c r="G458" s="4"/>
    </row>
    <row r="459" spans="2:7" ht="14.1" customHeight="1" x14ac:dyDescent="0.3">
      <c r="B459" s="4">
        <v>123</v>
      </c>
      <c r="C459" s="75" t="s">
        <v>175</v>
      </c>
      <c r="D459" s="4"/>
      <c r="E459" s="4"/>
      <c r="F459" s="4"/>
      <c r="G459" s="4"/>
    </row>
    <row r="460" spans="2:7" ht="14.1" customHeight="1" x14ac:dyDescent="0.3">
      <c r="B460" s="4"/>
      <c r="C460" s="4"/>
      <c r="D460" s="4"/>
      <c r="E460" s="4"/>
      <c r="F460" s="4"/>
      <c r="G460" s="4"/>
    </row>
    <row r="461" spans="2:7" ht="14.1" customHeight="1" x14ac:dyDescent="0.3">
      <c r="B461" s="4">
        <v>124</v>
      </c>
      <c r="C461" s="61" t="s">
        <v>176</v>
      </c>
      <c r="D461" s="4"/>
      <c r="E461" s="4">
        <v>7.16</v>
      </c>
      <c r="F461" s="4">
        <v>4.66</v>
      </c>
      <c r="G461" s="4">
        <v>33.36</v>
      </c>
    </row>
    <row r="462" spans="2:7" ht="14.1" customHeight="1" x14ac:dyDescent="0.3">
      <c r="B462" s="4"/>
      <c r="C462" s="61" t="s">
        <v>177</v>
      </c>
      <c r="D462" s="4"/>
      <c r="E462" s="4"/>
      <c r="F462" s="2" t="s">
        <v>9</v>
      </c>
      <c r="G462" s="4">
        <v>33.36</v>
      </c>
    </row>
    <row r="463" spans="2:7" ht="14.1" customHeight="1" x14ac:dyDescent="0.3">
      <c r="B463" s="4"/>
      <c r="C463" s="7"/>
      <c r="D463" s="7"/>
      <c r="E463" s="7"/>
      <c r="F463" s="7"/>
      <c r="G463" s="7"/>
    </row>
    <row r="464" spans="2:7" ht="14.1" customHeight="1" x14ac:dyDescent="0.3">
      <c r="B464" s="4">
        <v>125</v>
      </c>
      <c r="C464" s="7" t="s">
        <v>136</v>
      </c>
      <c r="D464" s="4"/>
      <c r="E464" s="5"/>
      <c r="F464" s="2"/>
      <c r="G464" s="5"/>
    </row>
    <row r="465" spans="2:7" ht="14.1" customHeight="1" x14ac:dyDescent="0.3">
      <c r="B465" s="4"/>
      <c r="C465" s="7" t="s">
        <v>11</v>
      </c>
      <c r="D465" s="4"/>
      <c r="E465" s="5"/>
      <c r="F465" s="2" t="s">
        <v>9</v>
      </c>
      <c r="G465" s="4">
        <v>33.36</v>
      </c>
    </row>
    <row r="466" spans="2:7" ht="14.1" customHeight="1" x14ac:dyDescent="0.3">
      <c r="B466" s="4"/>
      <c r="C466" s="4"/>
      <c r="D466" s="4"/>
      <c r="E466" s="4"/>
      <c r="F466" s="4"/>
      <c r="G466" s="4"/>
    </row>
    <row r="467" spans="2:7" ht="14.1" customHeight="1" x14ac:dyDescent="0.3">
      <c r="B467" s="4">
        <v>126</v>
      </c>
      <c r="C467" s="61" t="s">
        <v>149</v>
      </c>
      <c r="D467" s="4"/>
      <c r="E467" s="4"/>
      <c r="F467" s="4"/>
      <c r="G467" s="4"/>
    </row>
    <row r="468" spans="2:7" ht="14.1" customHeight="1" x14ac:dyDescent="0.3">
      <c r="B468" s="4"/>
      <c r="C468" s="7" t="s">
        <v>11</v>
      </c>
      <c r="D468" s="4"/>
      <c r="E468" s="4"/>
      <c r="F468" s="2" t="s">
        <v>9</v>
      </c>
      <c r="G468" s="4">
        <v>33.36</v>
      </c>
    </row>
    <row r="469" spans="2:7" ht="14.1" customHeight="1" x14ac:dyDescent="0.3">
      <c r="B469" s="4"/>
      <c r="C469" s="4"/>
      <c r="D469" s="4"/>
      <c r="E469" s="4"/>
      <c r="F469" s="4"/>
      <c r="G469" s="4"/>
    </row>
    <row r="470" spans="2:7" ht="14.1" customHeight="1" x14ac:dyDescent="0.3">
      <c r="B470" s="4">
        <v>127</v>
      </c>
      <c r="C470" s="7" t="s">
        <v>135</v>
      </c>
      <c r="D470" s="4"/>
      <c r="E470" s="4"/>
      <c r="F470" s="4"/>
      <c r="G470" s="4"/>
    </row>
    <row r="471" spans="2:7" ht="14.1" customHeight="1" x14ac:dyDescent="0.3">
      <c r="B471" s="4"/>
      <c r="C471" s="7" t="s">
        <v>11</v>
      </c>
      <c r="D471" s="4"/>
      <c r="E471" s="4"/>
      <c r="F471" s="2" t="s">
        <v>9</v>
      </c>
      <c r="G471" s="4">
        <v>33.36</v>
      </c>
    </row>
    <row r="472" spans="2:7" ht="14.1" customHeight="1" x14ac:dyDescent="0.3">
      <c r="B472" s="4"/>
      <c r="C472" s="4"/>
      <c r="D472" s="4"/>
      <c r="E472" s="4"/>
      <c r="F472" s="4"/>
      <c r="G472" s="4"/>
    </row>
    <row r="473" spans="2:7" ht="14.1" customHeight="1" x14ac:dyDescent="0.3">
      <c r="B473" s="4">
        <v>128</v>
      </c>
      <c r="C473" s="7" t="s">
        <v>137</v>
      </c>
      <c r="D473" s="4"/>
      <c r="E473" s="4"/>
      <c r="F473" s="4"/>
      <c r="G473" s="4"/>
    </row>
    <row r="474" spans="2:7" ht="14.1" customHeight="1" x14ac:dyDescent="0.3">
      <c r="B474" s="4"/>
      <c r="C474" s="7" t="s">
        <v>11</v>
      </c>
      <c r="D474" s="4"/>
      <c r="E474" s="4"/>
      <c r="F474" s="2" t="s">
        <v>9</v>
      </c>
      <c r="G474" s="4">
        <v>33.36</v>
      </c>
    </row>
    <row r="475" spans="2:7" ht="14.1" customHeight="1" x14ac:dyDescent="0.3">
      <c r="B475" s="4"/>
      <c r="C475" s="7"/>
      <c r="D475" s="4"/>
      <c r="E475" s="5"/>
      <c r="F475" s="2"/>
      <c r="G475" s="2"/>
    </row>
    <row r="476" spans="2:7" ht="14.1" customHeight="1" x14ac:dyDescent="0.3">
      <c r="B476" s="4"/>
      <c r="C476" s="7"/>
      <c r="D476" s="4"/>
      <c r="E476" s="5"/>
      <c r="F476" s="2"/>
      <c r="G476" s="2"/>
    </row>
    <row r="477" spans="2:7" ht="14.1" customHeight="1" x14ac:dyDescent="0.3">
      <c r="B477" s="4">
        <v>129</v>
      </c>
      <c r="C477" s="7" t="s">
        <v>141</v>
      </c>
      <c r="D477" s="60">
        <v>1</v>
      </c>
      <c r="E477" s="7">
        <v>21.83</v>
      </c>
      <c r="F477" s="33" t="s">
        <v>9</v>
      </c>
      <c r="G477" s="7">
        <v>21.83</v>
      </c>
    </row>
    <row r="478" spans="2:7" ht="14.1" customHeight="1" x14ac:dyDescent="0.3">
      <c r="B478" s="4"/>
      <c r="C478" s="7"/>
      <c r="D478" s="60"/>
      <c r="E478" s="7"/>
      <c r="F478" s="7"/>
      <c r="G478" s="7"/>
    </row>
    <row r="479" spans="2:7" ht="14.1" customHeight="1" x14ac:dyDescent="0.3">
      <c r="B479" s="4">
        <v>130</v>
      </c>
      <c r="C479" s="7" t="s">
        <v>136</v>
      </c>
      <c r="D479" s="4"/>
      <c r="E479" s="5"/>
      <c r="F479" s="2"/>
      <c r="G479" s="5"/>
    </row>
    <row r="480" spans="2:7" ht="14.1" customHeight="1" x14ac:dyDescent="0.3">
      <c r="B480" s="4"/>
      <c r="C480" s="7" t="s">
        <v>11</v>
      </c>
      <c r="D480" s="4"/>
      <c r="E480" s="5"/>
      <c r="F480" s="2" t="s">
        <v>9</v>
      </c>
      <c r="G480" s="7">
        <v>21.83</v>
      </c>
    </row>
    <row r="481" spans="1:8" ht="14.1" customHeight="1" x14ac:dyDescent="0.3">
      <c r="B481" s="4"/>
      <c r="C481" s="7"/>
      <c r="D481" s="60"/>
      <c r="E481" s="7"/>
      <c r="F481" s="7"/>
      <c r="G481" s="7"/>
    </row>
    <row r="482" spans="1:8" ht="14.1" customHeight="1" x14ac:dyDescent="0.3">
      <c r="B482" s="4">
        <v>131</v>
      </c>
      <c r="C482" s="61" t="s">
        <v>149</v>
      </c>
      <c r="D482" s="4"/>
      <c r="E482" s="4"/>
      <c r="F482" s="4"/>
      <c r="G482" s="4"/>
    </row>
    <row r="483" spans="1:8" ht="14.1" customHeight="1" x14ac:dyDescent="0.3">
      <c r="B483" s="1"/>
      <c r="C483" s="7" t="s">
        <v>11</v>
      </c>
      <c r="D483" s="4"/>
      <c r="E483" s="4"/>
      <c r="F483" s="2" t="s">
        <v>9</v>
      </c>
      <c r="G483" s="7">
        <v>21.83</v>
      </c>
    </row>
    <row r="484" spans="1:8" ht="14.1" customHeight="1" x14ac:dyDescent="0.3">
      <c r="B484" s="1"/>
      <c r="C484" s="7"/>
      <c r="D484" s="4"/>
      <c r="E484" s="4"/>
      <c r="F484" s="2"/>
      <c r="G484" s="7"/>
    </row>
    <row r="485" spans="1:8" ht="14.1" customHeight="1" x14ac:dyDescent="0.3">
      <c r="A485">
        <v>202</v>
      </c>
      <c r="B485" s="4">
        <v>132</v>
      </c>
      <c r="C485" s="7" t="s">
        <v>45</v>
      </c>
      <c r="D485" s="4"/>
      <c r="E485" s="4">
        <v>21.83</v>
      </c>
      <c r="F485" s="2"/>
      <c r="G485" s="4">
        <v>21.83</v>
      </c>
      <c r="H485" s="14"/>
    </row>
    <row r="486" spans="1:8" ht="14.1" customHeight="1" x14ac:dyDescent="0.3">
      <c r="B486" s="4"/>
      <c r="C486" s="7"/>
      <c r="D486" s="4"/>
      <c r="E486" s="4">
        <v>4.66</v>
      </c>
      <c r="F486" s="2"/>
      <c r="G486" s="4">
        <v>4.66</v>
      </c>
    </row>
    <row r="487" spans="1:8" ht="14.1" customHeight="1" x14ac:dyDescent="0.3">
      <c r="B487" s="4"/>
      <c r="C487" s="7"/>
      <c r="D487" s="4"/>
      <c r="E487" s="4">
        <v>2.33</v>
      </c>
      <c r="F487" s="2"/>
      <c r="G487" s="4">
        <v>2.33</v>
      </c>
    </row>
    <row r="488" spans="1:8" ht="14.1" customHeight="1" x14ac:dyDescent="0.3">
      <c r="B488" s="4"/>
      <c r="C488" s="7"/>
      <c r="D488" s="4"/>
      <c r="E488" s="4"/>
      <c r="F488" s="2" t="s">
        <v>9</v>
      </c>
      <c r="G488" s="7">
        <v>28.82</v>
      </c>
    </row>
    <row r="489" spans="1:8" ht="14.1" customHeight="1" x14ac:dyDescent="0.3">
      <c r="B489" s="4"/>
      <c r="C489" s="7"/>
      <c r="D489" s="4"/>
      <c r="E489" s="4"/>
      <c r="F489" s="2"/>
      <c r="G489" s="7"/>
    </row>
    <row r="490" spans="1:8" ht="14.1" customHeight="1" x14ac:dyDescent="0.3">
      <c r="B490" s="4">
        <v>133</v>
      </c>
      <c r="C490" s="7" t="s">
        <v>164</v>
      </c>
      <c r="D490" s="4"/>
      <c r="E490" s="4">
        <v>1</v>
      </c>
      <c r="F490" s="2"/>
      <c r="G490" s="7"/>
    </row>
    <row r="491" spans="1:8" ht="14.1" customHeight="1" x14ac:dyDescent="0.3">
      <c r="B491" s="4"/>
      <c r="C491" s="7"/>
      <c r="D491" s="4"/>
      <c r="E491" s="4"/>
      <c r="F491" s="2"/>
      <c r="G491" s="7"/>
    </row>
    <row r="492" spans="1:8" ht="14.1" customHeight="1" x14ac:dyDescent="0.3">
      <c r="B492" s="4"/>
      <c r="C492" s="7"/>
      <c r="D492" s="4"/>
      <c r="E492" s="4"/>
      <c r="F492" s="2"/>
      <c r="G492" s="7"/>
    </row>
    <row r="493" spans="1:8" ht="14.1" customHeight="1" x14ac:dyDescent="0.3">
      <c r="B493" s="4">
        <f>+B485+1</f>
        <v>133</v>
      </c>
      <c r="C493" s="7" t="s">
        <v>168</v>
      </c>
      <c r="D493" s="7">
        <v>1</v>
      </c>
      <c r="E493" s="7">
        <v>20.079999999999998</v>
      </c>
      <c r="F493" s="7">
        <v>4</v>
      </c>
      <c r="G493" s="7">
        <f>SUM(D493*E493*F493)</f>
        <v>80.319999999999993</v>
      </c>
    </row>
    <row r="494" spans="1:8" ht="14.1" customHeight="1" x14ac:dyDescent="0.3">
      <c r="B494" s="4"/>
      <c r="C494" s="7"/>
      <c r="D494" s="7">
        <v>1</v>
      </c>
      <c r="E494" s="7">
        <v>5.5</v>
      </c>
      <c r="F494" s="7">
        <v>1</v>
      </c>
      <c r="G494" s="7">
        <f t="shared" ref="G494:G499" si="4">SUM(D494*E494*F494)</f>
        <v>5.5</v>
      </c>
    </row>
    <row r="495" spans="1:8" ht="14.1" customHeight="1" x14ac:dyDescent="0.3">
      <c r="B495" s="4"/>
      <c r="C495" s="7"/>
      <c r="D495" s="7">
        <v>1</v>
      </c>
      <c r="E495" s="7">
        <v>7.08</v>
      </c>
      <c r="F495" s="7">
        <v>1</v>
      </c>
      <c r="G495" s="7">
        <f t="shared" si="4"/>
        <v>7.08</v>
      </c>
    </row>
    <row r="496" spans="1:8" ht="14.1" customHeight="1" x14ac:dyDescent="0.3">
      <c r="B496" s="4"/>
      <c r="C496" s="7"/>
      <c r="D496" s="7">
        <v>1</v>
      </c>
      <c r="E496" s="7">
        <v>2.75</v>
      </c>
      <c r="F496" s="7">
        <v>1</v>
      </c>
      <c r="G496" s="7">
        <f t="shared" si="4"/>
        <v>2.75</v>
      </c>
    </row>
    <row r="497" spans="2:7" ht="14.1" customHeight="1" x14ac:dyDescent="0.3">
      <c r="B497" s="4"/>
      <c r="C497" s="7"/>
      <c r="D497" s="7">
        <v>3</v>
      </c>
      <c r="E497" s="7">
        <v>1.75</v>
      </c>
      <c r="F497" s="7">
        <v>1</v>
      </c>
      <c r="G497" s="7">
        <f t="shared" si="4"/>
        <v>5.25</v>
      </c>
    </row>
    <row r="498" spans="2:7" ht="14.1" customHeight="1" x14ac:dyDescent="0.3">
      <c r="B498" s="4"/>
      <c r="C498" s="7"/>
      <c r="D498" s="7">
        <v>3</v>
      </c>
      <c r="E498" s="7">
        <v>2.5</v>
      </c>
      <c r="F498" s="7">
        <v>1</v>
      </c>
      <c r="G498" s="7">
        <f t="shared" si="4"/>
        <v>7.5</v>
      </c>
    </row>
    <row r="499" spans="2:7" ht="14.1" customHeight="1" x14ac:dyDescent="0.3">
      <c r="B499" s="4"/>
      <c r="C499" s="7"/>
      <c r="D499" s="7">
        <v>2</v>
      </c>
      <c r="E499" s="7">
        <v>1</v>
      </c>
      <c r="F499" s="7">
        <v>1</v>
      </c>
      <c r="G499" s="7">
        <f t="shared" si="4"/>
        <v>2</v>
      </c>
    </row>
    <row r="500" spans="2:7" ht="14.1" customHeight="1" x14ac:dyDescent="0.3">
      <c r="B500" s="4"/>
      <c r="C500" s="7"/>
      <c r="D500" s="7"/>
      <c r="E500" s="7"/>
      <c r="F500" s="2" t="s">
        <v>9</v>
      </c>
      <c r="G500" s="7">
        <f>SUM(G493:G499)</f>
        <v>110.39999999999999</v>
      </c>
    </row>
    <row r="501" spans="2:7" ht="14.1" customHeight="1" x14ac:dyDescent="0.3">
      <c r="B501" s="4"/>
      <c r="C501" s="7"/>
      <c r="D501" s="7"/>
      <c r="E501" s="7"/>
      <c r="F501" s="7"/>
      <c r="G501" s="7"/>
    </row>
    <row r="502" spans="2:7" ht="14.1" customHeight="1" x14ac:dyDescent="0.3">
      <c r="B502" s="4"/>
      <c r="C502" s="7"/>
      <c r="D502" s="7"/>
      <c r="E502" s="7"/>
      <c r="F502" s="2" t="s">
        <v>9</v>
      </c>
      <c r="G502" s="7">
        <v>110.4</v>
      </c>
    </row>
    <row r="503" spans="2:7" ht="14.1" customHeight="1" x14ac:dyDescent="0.3">
      <c r="B503" s="4"/>
      <c r="C503" s="7"/>
      <c r="D503" s="7"/>
      <c r="E503" s="7"/>
      <c r="F503" s="2"/>
      <c r="G503" s="7"/>
    </row>
    <row r="504" spans="2:7" ht="14.1" customHeight="1" x14ac:dyDescent="0.3">
      <c r="B504" s="4">
        <v>134</v>
      </c>
      <c r="C504" s="7" t="s">
        <v>136</v>
      </c>
      <c r="D504" s="4"/>
      <c r="E504" s="5"/>
      <c r="F504" s="2"/>
      <c r="G504" s="5"/>
    </row>
    <row r="505" spans="2:7" ht="14.1" customHeight="1" x14ac:dyDescent="0.3">
      <c r="B505" s="4"/>
      <c r="C505" s="7" t="s">
        <v>11</v>
      </c>
      <c r="D505" s="4"/>
      <c r="E505" s="5"/>
      <c r="F505" s="2" t="s">
        <v>9</v>
      </c>
      <c r="G505" s="7">
        <v>110.4</v>
      </c>
    </row>
    <row r="506" spans="2:7" ht="14.1" customHeight="1" x14ac:dyDescent="0.3">
      <c r="B506" s="4"/>
      <c r="C506" s="7"/>
      <c r="D506" s="60"/>
      <c r="E506" s="7"/>
      <c r="F506" s="7"/>
      <c r="G506" s="7"/>
    </row>
    <row r="507" spans="2:7" ht="14.1" customHeight="1" x14ac:dyDescent="0.3">
      <c r="B507" s="4">
        <v>135</v>
      </c>
      <c r="C507" s="61" t="s">
        <v>149</v>
      </c>
      <c r="D507" s="4"/>
      <c r="E507" s="4"/>
      <c r="F507" s="4"/>
      <c r="G507" s="4"/>
    </row>
    <row r="508" spans="2:7" ht="14.1" customHeight="1" x14ac:dyDescent="0.3">
      <c r="B508" s="4"/>
      <c r="C508" s="7" t="s">
        <v>11</v>
      </c>
      <c r="D508" s="4"/>
      <c r="E508" s="4"/>
      <c r="F508" s="2" t="s">
        <v>9</v>
      </c>
      <c r="G508" s="7">
        <v>110.4</v>
      </c>
    </row>
    <row r="509" spans="2:7" ht="14.1" customHeight="1" x14ac:dyDescent="0.3">
      <c r="B509" s="4"/>
      <c r="C509" s="7"/>
      <c r="D509" s="4"/>
      <c r="E509" s="4"/>
      <c r="F509" s="2"/>
      <c r="G509" s="7"/>
    </row>
    <row r="510" spans="2:7" ht="14.1" customHeight="1" x14ac:dyDescent="0.3">
      <c r="B510" s="4">
        <v>136</v>
      </c>
      <c r="C510" s="7" t="s">
        <v>178</v>
      </c>
      <c r="D510" s="4">
        <v>2</v>
      </c>
      <c r="E510" s="5">
        <v>7</v>
      </c>
      <c r="F510" s="2"/>
      <c r="G510" s="7">
        <v>14</v>
      </c>
    </row>
    <row r="511" spans="2:7" ht="14.1" customHeight="1" x14ac:dyDescent="0.3">
      <c r="B511" s="4"/>
      <c r="C511" s="7"/>
      <c r="D511" s="4">
        <v>1</v>
      </c>
      <c r="E511" s="4">
        <v>7.16</v>
      </c>
      <c r="F511" s="2"/>
      <c r="G511" s="4">
        <v>7.16</v>
      </c>
    </row>
    <row r="512" spans="2:7" ht="14.1" customHeight="1" x14ac:dyDescent="0.3">
      <c r="B512" s="4"/>
      <c r="C512" s="7"/>
      <c r="D512" s="4">
        <v>1</v>
      </c>
      <c r="E512" s="4">
        <v>4.75</v>
      </c>
      <c r="F512" s="2"/>
      <c r="G512" s="4">
        <v>4.75</v>
      </c>
    </row>
    <row r="513" spans="2:7" ht="14.1" customHeight="1" x14ac:dyDescent="0.3">
      <c r="B513" s="4"/>
      <c r="C513" s="7"/>
      <c r="D513" s="4">
        <v>1</v>
      </c>
      <c r="E513" s="5">
        <v>7</v>
      </c>
      <c r="F513" s="2"/>
      <c r="G513" s="5">
        <v>7</v>
      </c>
    </row>
    <row r="514" spans="2:7" ht="14.1" customHeight="1" x14ac:dyDescent="0.3">
      <c r="B514" s="4"/>
      <c r="C514" s="7"/>
      <c r="D514" s="4"/>
      <c r="E514" s="4"/>
      <c r="F514" s="2" t="s">
        <v>9</v>
      </c>
      <c r="G514" s="7">
        <f>SUM(G510:G513)</f>
        <v>32.909999999999997</v>
      </c>
    </row>
    <row r="515" spans="2:7" ht="14.1" customHeight="1" x14ac:dyDescent="0.3">
      <c r="B515" s="4"/>
      <c r="C515" s="7"/>
      <c r="D515" s="4"/>
      <c r="E515" s="4"/>
      <c r="F515" s="2"/>
      <c r="G515" s="7"/>
    </row>
    <row r="516" spans="2:7" ht="14.1" customHeight="1" x14ac:dyDescent="0.3">
      <c r="B516" s="4">
        <v>137</v>
      </c>
      <c r="C516" s="7" t="s">
        <v>171</v>
      </c>
      <c r="D516" s="4"/>
      <c r="E516" s="4">
        <v>12</v>
      </c>
      <c r="F516" s="2" t="s">
        <v>9</v>
      </c>
      <c r="G516" s="7">
        <v>12</v>
      </c>
    </row>
    <row r="517" spans="2:7" ht="14.1" customHeight="1" x14ac:dyDescent="0.3">
      <c r="B517" s="4"/>
      <c r="C517" s="7"/>
      <c r="D517" s="4"/>
      <c r="E517" s="4"/>
      <c r="F517" s="2"/>
      <c r="G517" s="7"/>
    </row>
    <row r="518" spans="2:7" ht="14.1" customHeight="1" x14ac:dyDescent="0.3">
      <c r="B518" s="4">
        <v>138</v>
      </c>
      <c r="C518" s="7" t="s">
        <v>170</v>
      </c>
      <c r="D518" s="7"/>
      <c r="E518" s="7">
        <v>21.83</v>
      </c>
      <c r="F518" s="7">
        <v>4</v>
      </c>
      <c r="G518" s="7">
        <v>87.32</v>
      </c>
    </row>
    <row r="519" spans="2:7" ht="14.1" customHeight="1" x14ac:dyDescent="0.3">
      <c r="B519" s="4"/>
      <c r="C519" s="7"/>
      <c r="D519" s="7"/>
      <c r="E519" s="7"/>
      <c r="F519" s="2" t="s">
        <v>9</v>
      </c>
      <c r="G519" s="7">
        <v>87.32</v>
      </c>
    </row>
    <row r="520" spans="2:7" ht="14.1" customHeight="1" x14ac:dyDescent="0.3">
      <c r="B520" s="4"/>
      <c r="C520" s="7"/>
      <c r="D520" s="7"/>
      <c r="E520" s="7"/>
      <c r="F520" s="7"/>
      <c r="G520" s="7"/>
    </row>
    <row r="521" spans="2:7" ht="14.1" customHeight="1" x14ac:dyDescent="0.3">
      <c r="B521" s="4">
        <v>139</v>
      </c>
      <c r="C521" s="7" t="s">
        <v>136</v>
      </c>
      <c r="D521" s="4"/>
      <c r="E521" s="5"/>
      <c r="F521" s="2"/>
      <c r="G521" s="5"/>
    </row>
    <row r="522" spans="2:7" ht="14.1" customHeight="1" x14ac:dyDescent="0.3">
      <c r="B522" s="4"/>
      <c r="C522" s="7" t="s">
        <v>11</v>
      </c>
      <c r="D522" s="4"/>
      <c r="E522" s="5"/>
      <c r="F522" s="2" t="s">
        <v>9</v>
      </c>
      <c r="G522" s="7">
        <v>87.32</v>
      </c>
    </row>
    <row r="523" spans="2:7" ht="14.1" customHeight="1" x14ac:dyDescent="0.3">
      <c r="B523" s="4"/>
      <c r="C523" s="4"/>
      <c r="D523" s="4"/>
      <c r="E523" s="4"/>
      <c r="F523" s="4"/>
      <c r="G523" s="4"/>
    </row>
    <row r="524" spans="2:7" ht="14.1" customHeight="1" x14ac:dyDescent="0.3">
      <c r="B524" s="4">
        <v>140</v>
      </c>
      <c r="C524" s="61" t="s">
        <v>149</v>
      </c>
      <c r="D524" s="4"/>
      <c r="E524" s="4"/>
      <c r="F524" s="4"/>
      <c r="G524" s="4"/>
    </row>
    <row r="525" spans="2:7" ht="14.1" customHeight="1" x14ac:dyDescent="0.3">
      <c r="B525" s="4"/>
      <c r="C525" s="7" t="s">
        <v>11</v>
      </c>
      <c r="D525" s="4"/>
      <c r="E525" s="4"/>
      <c r="F525" s="2" t="s">
        <v>9</v>
      </c>
      <c r="G525" s="7">
        <v>87.32</v>
      </c>
    </row>
    <row r="526" spans="2:7" ht="14.1" customHeight="1" x14ac:dyDescent="0.3">
      <c r="B526" s="4"/>
      <c r="C526" s="7"/>
      <c r="D526" s="4"/>
      <c r="E526" s="4"/>
      <c r="F526" s="2"/>
      <c r="G526" s="7"/>
    </row>
    <row r="527" spans="2:7" ht="14.1" customHeight="1" x14ac:dyDescent="0.3">
      <c r="B527" s="4"/>
      <c r="C527" s="7"/>
      <c r="D527" s="4"/>
      <c r="E527" s="4"/>
      <c r="F527" s="2"/>
      <c r="G527" s="7"/>
    </row>
    <row r="528" spans="2:7" ht="14.1" customHeight="1" x14ac:dyDescent="0.3">
      <c r="B528" s="4">
        <v>141</v>
      </c>
      <c r="C528" s="7" t="s">
        <v>172</v>
      </c>
      <c r="D528" s="4">
        <v>1</v>
      </c>
      <c r="E528" s="4">
        <v>4.66</v>
      </c>
      <c r="F528" s="2" t="s">
        <v>9</v>
      </c>
      <c r="G528" s="4">
        <v>4.66</v>
      </c>
    </row>
    <row r="529" spans="2:7" ht="14.1" customHeight="1" x14ac:dyDescent="0.3">
      <c r="B529" s="4"/>
      <c r="C529" s="7"/>
      <c r="D529" s="4"/>
      <c r="E529" s="4"/>
      <c r="F529" s="2"/>
      <c r="G529" s="7"/>
    </row>
    <row r="530" spans="2:7" ht="14.1" customHeight="1" x14ac:dyDescent="0.3">
      <c r="B530" s="4">
        <v>142</v>
      </c>
      <c r="C530" s="7" t="s">
        <v>45</v>
      </c>
      <c r="D530" s="4">
        <v>1</v>
      </c>
      <c r="E530" s="4">
        <v>4.66</v>
      </c>
      <c r="F530" s="2" t="s">
        <v>9</v>
      </c>
      <c r="G530" s="4">
        <v>4.66</v>
      </c>
    </row>
    <row r="531" spans="2:7" ht="14.1" customHeight="1" x14ac:dyDescent="0.3">
      <c r="B531" s="4"/>
      <c r="C531" s="7"/>
      <c r="D531" s="4"/>
      <c r="E531" s="4"/>
      <c r="F531" s="2"/>
      <c r="G531" s="7"/>
    </row>
    <row r="532" spans="2:7" ht="14.1" customHeight="1" x14ac:dyDescent="0.3">
      <c r="B532" s="4">
        <v>143</v>
      </c>
      <c r="C532" s="7" t="s">
        <v>176</v>
      </c>
      <c r="D532" s="7"/>
      <c r="E532" s="7">
        <v>7.16</v>
      </c>
      <c r="F532" s="7">
        <v>4.16</v>
      </c>
      <c r="G532" s="7">
        <v>29.78</v>
      </c>
    </row>
    <row r="533" spans="2:7" ht="14.1" customHeight="1" x14ac:dyDescent="0.3">
      <c r="B533" s="4"/>
      <c r="C533" s="7" t="s">
        <v>179</v>
      </c>
      <c r="D533" s="7"/>
      <c r="E533" s="7"/>
      <c r="F533" s="2" t="s">
        <v>9</v>
      </c>
      <c r="G533" s="7">
        <v>29.78</v>
      </c>
    </row>
    <row r="534" spans="2:7" ht="14.1" customHeight="1" x14ac:dyDescent="0.3">
      <c r="B534" s="4"/>
      <c r="C534" s="7"/>
      <c r="D534" s="7"/>
      <c r="E534" s="7"/>
      <c r="F534" s="7"/>
      <c r="G534" s="7"/>
    </row>
    <row r="535" spans="2:7" ht="14.1" customHeight="1" x14ac:dyDescent="0.3">
      <c r="B535" s="4">
        <v>144</v>
      </c>
      <c r="C535" s="7" t="s">
        <v>158</v>
      </c>
      <c r="D535" s="7">
        <v>1</v>
      </c>
      <c r="E535" s="7">
        <v>2.33</v>
      </c>
      <c r="F535" s="2" t="s">
        <v>9</v>
      </c>
      <c r="G535" s="7">
        <v>2.33</v>
      </c>
    </row>
    <row r="536" spans="2:7" ht="14.1" customHeight="1" x14ac:dyDescent="0.3">
      <c r="B536" s="4"/>
      <c r="C536" s="7"/>
      <c r="D536" s="7"/>
      <c r="E536" s="7"/>
      <c r="F536" s="7"/>
      <c r="G536" s="7"/>
    </row>
    <row r="537" spans="2:7" ht="14.1" customHeight="1" x14ac:dyDescent="0.3">
      <c r="B537" s="4">
        <v>145</v>
      </c>
      <c r="C537" s="7" t="s">
        <v>45</v>
      </c>
      <c r="D537" s="7">
        <v>1</v>
      </c>
      <c r="E537" s="7">
        <v>4.16</v>
      </c>
      <c r="F537" s="7"/>
      <c r="G537" s="7">
        <v>4.16</v>
      </c>
    </row>
    <row r="538" spans="2:7" ht="14.1" customHeight="1" x14ac:dyDescent="0.3">
      <c r="B538" s="4"/>
      <c r="C538" s="7"/>
      <c r="D538" s="7">
        <v>3</v>
      </c>
      <c r="E538" s="7">
        <v>2.33</v>
      </c>
      <c r="F538" s="7"/>
      <c r="G538" s="7">
        <v>6.99</v>
      </c>
    </row>
    <row r="539" spans="2:7" ht="14.1" customHeight="1" x14ac:dyDescent="0.3">
      <c r="B539" s="4"/>
      <c r="C539" s="7"/>
      <c r="D539" s="7">
        <v>1</v>
      </c>
      <c r="E539" s="7">
        <v>6.5</v>
      </c>
      <c r="F539" s="7"/>
      <c r="G539" s="7">
        <v>6.5</v>
      </c>
    </row>
    <row r="540" spans="2:7" ht="14.1" customHeight="1" x14ac:dyDescent="0.3">
      <c r="B540" s="4"/>
      <c r="C540" s="7"/>
      <c r="D540" s="7"/>
      <c r="E540" s="7"/>
      <c r="F540" s="2" t="s">
        <v>9</v>
      </c>
      <c r="G540" s="7">
        <v>17.649999999999999</v>
      </c>
    </row>
    <row r="541" spans="2:7" ht="14.1" customHeight="1" x14ac:dyDescent="0.3">
      <c r="B541" s="4"/>
      <c r="C541" s="7"/>
      <c r="D541" s="7"/>
      <c r="E541" s="7"/>
      <c r="F541" s="7"/>
      <c r="G541" s="7"/>
    </row>
    <row r="542" spans="2:7" ht="14.1" customHeight="1" x14ac:dyDescent="0.3">
      <c r="B542" s="4">
        <v>146</v>
      </c>
      <c r="C542" s="7" t="s">
        <v>168</v>
      </c>
      <c r="D542" s="7">
        <v>1</v>
      </c>
      <c r="E542" s="7">
        <v>20.25</v>
      </c>
      <c r="F542" s="7">
        <v>7.91</v>
      </c>
      <c r="G542" s="7">
        <f>SUM(D542*E542*F542)</f>
        <v>160.17750000000001</v>
      </c>
    </row>
    <row r="543" spans="2:7" ht="14.1" customHeight="1" x14ac:dyDescent="0.3">
      <c r="B543" s="4"/>
      <c r="C543" s="7"/>
      <c r="D543" s="7">
        <v>1</v>
      </c>
      <c r="E543" s="7">
        <v>9.66</v>
      </c>
      <c r="F543" s="7">
        <v>1</v>
      </c>
      <c r="G543" s="7">
        <f t="shared" ref="G543:G547" si="5">SUM(D543*E543*F543)</f>
        <v>9.66</v>
      </c>
    </row>
    <row r="544" spans="2:7" ht="14.1" customHeight="1" x14ac:dyDescent="0.3">
      <c r="B544" s="4"/>
      <c r="C544" s="7"/>
      <c r="D544" s="7">
        <v>1</v>
      </c>
      <c r="E544" s="7">
        <v>18.16</v>
      </c>
      <c r="F544" s="7">
        <v>1</v>
      </c>
      <c r="G544" s="7">
        <f t="shared" si="5"/>
        <v>18.16</v>
      </c>
    </row>
    <row r="545" spans="2:7" ht="14.1" customHeight="1" x14ac:dyDescent="0.3">
      <c r="B545" s="4"/>
      <c r="C545" s="7"/>
      <c r="D545" s="7">
        <v>1</v>
      </c>
      <c r="E545" s="7">
        <v>4.16</v>
      </c>
      <c r="F545" s="7">
        <v>1</v>
      </c>
      <c r="G545" s="7">
        <f t="shared" si="5"/>
        <v>4.16</v>
      </c>
    </row>
    <row r="546" spans="2:7" ht="14.1" customHeight="1" x14ac:dyDescent="0.3">
      <c r="B546" s="4"/>
      <c r="C546" s="7"/>
      <c r="D546" s="7">
        <v>4</v>
      </c>
      <c r="E546" s="7">
        <v>2.25</v>
      </c>
      <c r="F546" s="7">
        <v>1</v>
      </c>
      <c r="G546" s="7">
        <f t="shared" si="5"/>
        <v>9</v>
      </c>
    </row>
    <row r="547" spans="2:7" ht="14.1" customHeight="1" x14ac:dyDescent="0.3">
      <c r="B547" s="4"/>
      <c r="C547" s="7"/>
      <c r="D547" s="7">
        <v>2</v>
      </c>
      <c r="E547" s="7">
        <v>1</v>
      </c>
      <c r="F547" s="7">
        <v>1</v>
      </c>
      <c r="G547" s="7">
        <f t="shared" si="5"/>
        <v>2</v>
      </c>
    </row>
    <row r="548" spans="2:7" ht="14.1" customHeight="1" x14ac:dyDescent="0.3">
      <c r="B548" s="4"/>
      <c r="C548" s="7"/>
      <c r="D548" s="7"/>
      <c r="E548" s="7">
        <v>3</v>
      </c>
      <c r="F548" s="7">
        <v>1.83</v>
      </c>
      <c r="G548" s="7">
        <v>5.49</v>
      </c>
    </row>
    <row r="549" spans="2:7" ht="14.1" customHeight="1" x14ac:dyDescent="0.3">
      <c r="B549" s="4"/>
      <c r="C549" s="7"/>
      <c r="D549" s="7"/>
      <c r="E549" s="7"/>
      <c r="F549" s="2" t="s">
        <v>9</v>
      </c>
      <c r="G549" s="7">
        <v>197.67</v>
      </c>
    </row>
    <row r="550" spans="2:7" ht="14.1" customHeight="1" x14ac:dyDescent="0.3">
      <c r="B550" s="4"/>
      <c r="C550" s="7"/>
      <c r="D550" s="7"/>
      <c r="E550" s="7"/>
      <c r="F550" s="7"/>
      <c r="G550" s="7"/>
    </row>
    <row r="551" spans="2:7" ht="14.1" customHeight="1" x14ac:dyDescent="0.3">
      <c r="B551" s="4">
        <v>147</v>
      </c>
      <c r="C551" s="7" t="s">
        <v>136</v>
      </c>
      <c r="D551" s="4"/>
      <c r="E551" s="5"/>
      <c r="F551" s="2"/>
      <c r="G551" s="5"/>
    </row>
    <row r="552" spans="2:7" ht="14.1" customHeight="1" x14ac:dyDescent="0.3">
      <c r="B552" s="4"/>
      <c r="C552" s="7" t="s">
        <v>11</v>
      </c>
      <c r="D552" s="4"/>
      <c r="E552" s="5"/>
      <c r="F552" s="2" t="s">
        <v>9</v>
      </c>
      <c r="G552" s="7">
        <v>197.67</v>
      </c>
    </row>
    <row r="553" spans="2:7" ht="14.1" customHeight="1" x14ac:dyDescent="0.3">
      <c r="B553" s="4"/>
      <c r="C553" s="7"/>
      <c r="D553" s="60"/>
      <c r="E553" s="7"/>
      <c r="F553" s="7"/>
      <c r="G553" s="7"/>
    </row>
    <row r="554" spans="2:7" ht="14.1" customHeight="1" x14ac:dyDescent="0.3">
      <c r="B554" s="4">
        <v>148</v>
      </c>
      <c r="C554" s="61" t="s">
        <v>149</v>
      </c>
      <c r="D554" s="4"/>
      <c r="E554" s="4"/>
      <c r="F554" s="4"/>
      <c r="G554" s="4"/>
    </row>
    <row r="555" spans="2:7" ht="14.1" customHeight="1" x14ac:dyDescent="0.3">
      <c r="B555" s="4"/>
      <c r="C555" s="7" t="s">
        <v>11</v>
      </c>
      <c r="D555" s="4"/>
      <c r="E555" s="4"/>
      <c r="F555" s="2" t="s">
        <v>9</v>
      </c>
      <c r="G555" s="7">
        <v>197.67</v>
      </c>
    </row>
    <row r="556" spans="2:7" ht="14.1" customHeight="1" x14ac:dyDescent="0.3">
      <c r="B556" s="4"/>
      <c r="C556" s="7"/>
      <c r="D556" s="7"/>
      <c r="E556" s="7"/>
      <c r="F556" s="7"/>
      <c r="G556" s="7"/>
    </row>
    <row r="557" spans="2:7" ht="14.1" customHeight="1" x14ac:dyDescent="0.3">
      <c r="B557" s="4">
        <v>149</v>
      </c>
      <c r="C557" s="7" t="s">
        <v>169</v>
      </c>
      <c r="D557" s="7"/>
      <c r="E557" s="7">
        <v>9.66</v>
      </c>
      <c r="F557" s="7"/>
      <c r="G557" s="7">
        <v>9.66</v>
      </c>
    </row>
    <row r="558" spans="2:7" ht="14.1" customHeight="1" x14ac:dyDescent="0.3">
      <c r="B558" s="4"/>
      <c r="C558" s="7"/>
      <c r="D558" s="7"/>
      <c r="E558" s="7">
        <v>18.16</v>
      </c>
      <c r="F558" s="7"/>
      <c r="G558" s="7">
        <v>18.16</v>
      </c>
    </row>
    <row r="559" spans="2:7" ht="14.1" customHeight="1" x14ac:dyDescent="0.3">
      <c r="B559" s="4"/>
      <c r="C559" s="7"/>
      <c r="D559" s="7"/>
      <c r="E559" s="7">
        <v>4.16</v>
      </c>
      <c r="F559" s="7"/>
      <c r="G559" s="7">
        <v>4.16</v>
      </c>
    </row>
    <row r="560" spans="2:7" ht="14.1" customHeight="1" x14ac:dyDescent="0.3">
      <c r="B560" s="4"/>
      <c r="C560" s="7"/>
      <c r="D560" s="7"/>
      <c r="E560" s="7">
        <v>6.58</v>
      </c>
      <c r="F560" s="7"/>
      <c r="G560" s="7">
        <v>6.58</v>
      </c>
    </row>
    <row r="561" spans="2:9" ht="14.1" customHeight="1" x14ac:dyDescent="0.3">
      <c r="B561" s="4"/>
      <c r="C561" s="7"/>
      <c r="D561" s="7"/>
      <c r="E561" s="7">
        <v>1.5</v>
      </c>
      <c r="F561" s="7"/>
      <c r="G561" s="7">
        <v>1.5</v>
      </c>
    </row>
    <row r="562" spans="2:9" ht="14.1" customHeight="1" x14ac:dyDescent="0.3">
      <c r="B562" s="4"/>
      <c r="C562" s="7"/>
      <c r="D562" s="7"/>
      <c r="E562" s="7"/>
      <c r="F562" s="2" t="s">
        <v>9</v>
      </c>
      <c r="G562" s="7">
        <f>SUM(G557:G561)</f>
        <v>40.06</v>
      </c>
    </row>
    <row r="563" spans="2:9" ht="14.1" customHeight="1" x14ac:dyDescent="0.3">
      <c r="B563" s="4"/>
      <c r="C563" s="7"/>
      <c r="D563" s="7"/>
      <c r="E563" s="7"/>
      <c r="F563" s="7"/>
      <c r="G563" s="7"/>
    </row>
    <row r="564" spans="2:9" ht="14.1" customHeight="1" x14ac:dyDescent="0.3">
      <c r="B564" s="4">
        <v>150</v>
      </c>
      <c r="C564" s="7" t="s">
        <v>171</v>
      </c>
      <c r="D564" s="7"/>
      <c r="E564" s="7">
        <v>11</v>
      </c>
      <c r="F564" s="2" t="s">
        <v>9</v>
      </c>
      <c r="G564" s="7">
        <v>11</v>
      </c>
    </row>
    <row r="565" spans="2:9" ht="14.1" customHeight="1" x14ac:dyDescent="0.3">
      <c r="B565" s="4"/>
      <c r="C565" s="7"/>
      <c r="D565" s="7"/>
      <c r="E565" s="7"/>
      <c r="F565" s="7"/>
      <c r="G565" s="7"/>
      <c r="I565" s="32"/>
    </row>
    <row r="566" spans="2:9" ht="14.1" customHeight="1" x14ac:dyDescent="0.3">
      <c r="B566" s="4">
        <v>151</v>
      </c>
      <c r="C566" s="7" t="s">
        <v>172</v>
      </c>
      <c r="D566" s="7"/>
      <c r="E566" s="7">
        <v>4.16</v>
      </c>
      <c r="F566" s="2" t="s">
        <v>9</v>
      </c>
      <c r="G566" s="7">
        <v>4.16</v>
      </c>
    </row>
    <row r="567" spans="2:9" ht="14.1" customHeight="1" x14ac:dyDescent="0.3">
      <c r="B567" s="4"/>
      <c r="C567" s="7"/>
      <c r="D567" s="7"/>
      <c r="E567" s="7"/>
      <c r="F567" s="7"/>
      <c r="G567" s="7"/>
    </row>
    <row r="568" spans="2:9" ht="14.1" customHeight="1" x14ac:dyDescent="0.3">
      <c r="B568" s="4">
        <v>152</v>
      </c>
      <c r="C568" s="7" t="s">
        <v>180</v>
      </c>
      <c r="D568" s="7"/>
      <c r="E568" s="7">
        <v>4.83</v>
      </c>
      <c r="F568" s="7">
        <v>3.75</v>
      </c>
      <c r="G568" s="7">
        <v>18.11</v>
      </c>
    </row>
    <row r="569" spans="2:9" ht="14.1" customHeight="1" x14ac:dyDescent="0.3">
      <c r="B569" s="4"/>
      <c r="C569" s="7" t="s">
        <v>181</v>
      </c>
      <c r="D569" s="7"/>
      <c r="E569" s="7">
        <v>2.33</v>
      </c>
      <c r="F569" s="7">
        <v>1</v>
      </c>
      <c r="G569" s="7">
        <v>2.33</v>
      </c>
    </row>
    <row r="570" spans="2:9" ht="14.1" customHeight="1" x14ac:dyDescent="0.3">
      <c r="B570" s="4"/>
      <c r="C570" s="7"/>
      <c r="D570" s="7"/>
      <c r="E570" s="7"/>
      <c r="F570" s="2" t="s">
        <v>9</v>
      </c>
      <c r="G570" s="7">
        <v>20.440000000000001</v>
      </c>
    </row>
    <row r="571" spans="2:9" ht="14.1" customHeight="1" x14ac:dyDescent="0.3">
      <c r="B571" s="4"/>
      <c r="C571" s="7"/>
      <c r="D571" s="7"/>
      <c r="E571" s="7"/>
      <c r="F571" s="7"/>
      <c r="G571" s="7"/>
    </row>
    <row r="572" spans="2:9" ht="14.1" customHeight="1" x14ac:dyDescent="0.3">
      <c r="B572" s="4">
        <v>153</v>
      </c>
      <c r="C572" s="7" t="s">
        <v>164</v>
      </c>
      <c r="D572" s="7"/>
      <c r="E572" s="7">
        <v>1</v>
      </c>
      <c r="F572" s="2" t="s">
        <v>9</v>
      </c>
      <c r="G572" s="7">
        <v>1</v>
      </c>
    </row>
    <row r="573" spans="2:9" ht="14.1" customHeight="1" x14ac:dyDescent="0.3">
      <c r="B573" s="4"/>
      <c r="C573" s="7"/>
      <c r="D573" s="7"/>
      <c r="E573" s="7"/>
      <c r="F573" s="7"/>
      <c r="G573" s="7"/>
    </row>
    <row r="574" spans="2:9" ht="14.1" customHeight="1" x14ac:dyDescent="0.3">
      <c r="B574" s="4">
        <v>154</v>
      </c>
      <c r="C574" s="7" t="s">
        <v>168</v>
      </c>
      <c r="D574" s="7"/>
      <c r="E574" s="7">
        <v>11.33</v>
      </c>
      <c r="F574" s="7">
        <v>7.91</v>
      </c>
      <c r="G574" s="7">
        <f>SUM(E574*F574)</f>
        <v>89.6203</v>
      </c>
    </row>
    <row r="575" spans="2:9" ht="14.1" customHeight="1" x14ac:dyDescent="0.3">
      <c r="B575" s="4"/>
      <c r="C575" s="7"/>
      <c r="D575" s="7"/>
      <c r="E575" s="7">
        <v>7.91</v>
      </c>
      <c r="F575" s="7">
        <v>1</v>
      </c>
      <c r="G575" s="7">
        <f t="shared" ref="G575:G579" si="6">SUM(E575*F575)</f>
        <v>7.91</v>
      </c>
    </row>
    <row r="576" spans="2:9" ht="14.1" customHeight="1" x14ac:dyDescent="0.3">
      <c r="B576" s="4"/>
      <c r="C576" s="7"/>
      <c r="D576" s="7"/>
      <c r="E576" s="7">
        <v>2.08</v>
      </c>
      <c r="F576" s="7">
        <v>1</v>
      </c>
      <c r="G576" s="7">
        <f t="shared" si="6"/>
        <v>2.08</v>
      </c>
    </row>
    <row r="577" spans="2:7" ht="14.1" customHeight="1" x14ac:dyDescent="0.3">
      <c r="B577" s="4"/>
      <c r="C577" s="7"/>
      <c r="D577" s="7"/>
      <c r="E577" s="7">
        <v>10.16</v>
      </c>
      <c r="F577" s="7">
        <v>1</v>
      </c>
      <c r="G577" s="7">
        <f t="shared" si="6"/>
        <v>10.16</v>
      </c>
    </row>
    <row r="578" spans="2:7" ht="14.1" customHeight="1" x14ac:dyDescent="0.3">
      <c r="B578" s="4"/>
      <c r="C578" s="7"/>
      <c r="D578" s="7"/>
      <c r="E578" s="7">
        <v>4.75</v>
      </c>
      <c r="F578" s="7">
        <v>3.41</v>
      </c>
      <c r="G578" s="7">
        <f t="shared" si="6"/>
        <v>16.197500000000002</v>
      </c>
    </row>
    <row r="579" spans="2:7" ht="14.1" customHeight="1" x14ac:dyDescent="0.3">
      <c r="B579" s="4"/>
      <c r="C579" s="7"/>
      <c r="D579" s="7"/>
      <c r="E579" s="7">
        <v>5.08</v>
      </c>
      <c r="F579" s="7">
        <v>1</v>
      </c>
      <c r="G579" s="7">
        <f t="shared" si="6"/>
        <v>5.08</v>
      </c>
    </row>
    <row r="580" spans="2:7" ht="14.1" customHeight="1" x14ac:dyDescent="0.3">
      <c r="B580" s="4"/>
      <c r="C580" s="7"/>
      <c r="D580" s="7">
        <v>-1</v>
      </c>
      <c r="E580" s="7">
        <v>3.16</v>
      </c>
      <c r="F580" s="7">
        <v>1.91</v>
      </c>
      <c r="G580" s="7">
        <v>6.03</v>
      </c>
    </row>
    <row r="581" spans="2:7" ht="14.1" customHeight="1" x14ac:dyDescent="0.3">
      <c r="B581" s="4"/>
      <c r="C581" s="7"/>
      <c r="D581" s="7"/>
      <c r="E581" s="7"/>
      <c r="F581" s="2" t="s">
        <v>9</v>
      </c>
      <c r="G581" s="7">
        <v>125.02</v>
      </c>
    </row>
    <row r="582" spans="2:7" ht="14.1" customHeight="1" x14ac:dyDescent="0.3">
      <c r="B582" s="4"/>
      <c r="C582" s="7"/>
      <c r="D582" s="7"/>
      <c r="E582" s="7"/>
      <c r="F582" s="7"/>
      <c r="G582" s="7"/>
    </row>
    <row r="583" spans="2:7" ht="14.1" customHeight="1" x14ac:dyDescent="0.3">
      <c r="B583" s="4">
        <v>155</v>
      </c>
      <c r="C583" s="7" t="s">
        <v>136</v>
      </c>
      <c r="D583" s="4"/>
      <c r="E583" s="5"/>
      <c r="F583" s="2"/>
      <c r="G583" s="5"/>
    </row>
    <row r="584" spans="2:7" ht="14.1" customHeight="1" x14ac:dyDescent="0.3">
      <c r="B584" s="4"/>
      <c r="C584" s="7" t="s">
        <v>11</v>
      </c>
      <c r="D584" s="4"/>
      <c r="E584" s="5"/>
      <c r="F584" s="2" t="s">
        <v>9</v>
      </c>
      <c r="G584" s="7">
        <v>125.02</v>
      </c>
    </row>
    <row r="585" spans="2:7" ht="14.1" customHeight="1" x14ac:dyDescent="0.3">
      <c r="B585" s="4"/>
      <c r="C585" s="7"/>
      <c r="D585" s="60"/>
      <c r="E585" s="7"/>
      <c r="F585" s="7"/>
      <c r="G585" s="7"/>
    </row>
    <row r="586" spans="2:7" ht="14.1" customHeight="1" x14ac:dyDescent="0.3">
      <c r="B586" s="4">
        <v>156</v>
      </c>
      <c r="C586" s="61" t="s">
        <v>149</v>
      </c>
      <c r="D586" s="4"/>
      <c r="E586" s="4"/>
      <c r="F586" s="4"/>
      <c r="G586" s="4"/>
    </row>
    <row r="587" spans="2:7" ht="14.1" customHeight="1" x14ac:dyDescent="0.3">
      <c r="B587" s="4"/>
      <c r="C587" s="7" t="s">
        <v>11</v>
      </c>
      <c r="D587" s="4"/>
      <c r="E587" s="4"/>
      <c r="F587" s="2" t="s">
        <v>9</v>
      </c>
      <c r="G587" s="7">
        <v>125.02</v>
      </c>
    </row>
    <row r="588" spans="2:7" ht="14.1" customHeight="1" x14ac:dyDescent="0.3">
      <c r="B588" s="4"/>
      <c r="C588" s="7"/>
      <c r="D588" s="7"/>
      <c r="E588" s="7"/>
      <c r="F588" s="7"/>
      <c r="G588" s="7"/>
    </row>
    <row r="589" spans="2:7" ht="14.1" customHeight="1" x14ac:dyDescent="0.3">
      <c r="B589" s="4">
        <v>157</v>
      </c>
      <c r="C589" s="7" t="s">
        <v>169</v>
      </c>
      <c r="D589" s="7"/>
      <c r="E589" s="7">
        <v>7.91</v>
      </c>
      <c r="F589" s="7"/>
      <c r="G589" s="7">
        <v>7.91</v>
      </c>
    </row>
    <row r="590" spans="2:7" ht="14.1" customHeight="1" x14ac:dyDescent="0.3">
      <c r="B590" s="4"/>
      <c r="C590" s="7"/>
      <c r="D590" s="7"/>
      <c r="E590" s="7">
        <v>10.16</v>
      </c>
      <c r="F590" s="7"/>
      <c r="G590" s="7">
        <v>10.16</v>
      </c>
    </row>
    <row r="591" spans="2:7" ht="14.1" customHeight="1" x14ac:dyDescent="0.3">
      <c r="B591" s="4"/>
      <c r="C591" s="7"/>
      <c r="D591" s="7"/>
      <c r="E591" s="7">
        <v>5.08</v>
      </c>
      <c r="F591" s="7"/>
      <c r="G591" s="7">
        <v>5.08</v>
      </c>
    </row>
    <row r="592" spans="2:7" ht="14.1" customHeight="1" x14ac:dyDescent="0.3">
      <c r="B592" s="4"/>
      <c r="C592" s="7"/>
      <c r="D592" s="7"/>
      <c r="E592" s="7"/>
      <c r="F592" s="2" t="s">
        <v>9</v>
      </c>
      <c r="G592" s="7">
        <v>23.15</v>
      </c>
    </row>
    <row r="593" spans="2:7" ht="14.1" customHeight="1" x14ac:dyDescent="0.3">
      <c r="B593" s="4"/>
      <c r="C593" s="7"/>
      <c r="D593" s="7"/>
      <c r="E593" s="7"/>
      <c r="F593" s="7"/>
      <c r="G593" s="7"/>
    </row>
    <row r="594" spans="2:7" ht="14.1" customHeight="1" x14ac:dyDescent="0.3">
      <c r="B594" s="4">
        <v>158</v>
      </c>
      <c r="C594" s="7" t="s">
        <v>170</v>
      </c>
      <c r="D594" s="7"/>
      <c r="E594" s="7">
        <v>4.75</v>
      </c>
      <c r="F594" s="7">
        <v>4.41</v>
      </c>
      <c r="G594" s="7">
        <v>20.94</v>
      </c>
    </row>
    <row r="595" spans="2:7" ht="14.1" customHeight="1" x14ac:dyDescent="0.3">
      <c r="B595" s="4"/>
      <c r="C595" s="7"/>
      <c r="D595" s="7"/>
      <c r="E595" s="7"/>
      <c r="F595" s="2" t="s">
        <v>9</v>
      </c>
      <c r="G595" s="7">
        <v>20.94</v>
      </c>
    </row>
    <row r="596" spans="2:7" ht="14.1" customHeight="1" x14ac:dyDescent="0.3">
      <c r="B596" s="4"/>
      <c r="C596" s="7"/>
      <c r="D596" s="7"/>
      <c r="E596" s="7"/>
      <c r="F596" s="7"/>
      <c r="G596" s="7"/>
    </row>
    <row r="597" spans="2:7" ht="14.1" customHeight="1" x14ac:dyDescent="0.3">
      <c r="B597" s="4">
        <v>159</v>
      </c>
      <c r="C597" s="7" t="s">
        <v>136</v>
      </c>
      <c r="D597" s="4"/>
      <c r="E597" s="5"/>
      <c r="F597" s="2"/>
      <c r="G597" s="5"/>
    </row>
    <row r="598" spans="2:7" ht="14.1" customHeight="1" x14ac:dyDescent="0.3">
      <c r="B598" s="4"/>
      <c r="C598" s="7" t="s">
        <v>11</v>
      </c>
      <c r="D598" s="4"/>
      <c r="E598" s="5"/>
      <c r="F598" s="2" t="s">
        <v>9</v>
      </c>
      <c r="G598" s="7">
        <v>87.32</v>
      </c>
    </row>
    <row r="599" spans="2:7" ht="14.1" customHeight="1" x14ac:dyDescent="0.3">
      <c r="B599" s="4"/>
      <c r="C599" s="4"/>
      <c r="D599" s="4"/>
      <c r="E599" s="4"/>
      <c r="F599" s="4"/>
      <c r="G599" s="4"/>
    </row>
    <row r="600" spans="2:7" ht="14.1" customHeight="1" x14ac:dyDescent="0.3">
      <c r="B600" s="4">
        <v>160</v>
      </c>
      <c r="C600" s="61" t="s">
        <v>149</v>
      </c>
      <c r="D600" s="4"/>
      <c r="E600" s="4"/>
      <c r="F600" s="4"/>
      <c r="G600" s="4"/>
    </row>
    <row r="601" spans="2:7" ht="14.1" customHeight="1" x14ac:dyDescent="0.3">
      <c r="B601" s="4"/>
      <c r="C601" s="7" t="s">
        <v>11</v>
      </c>
      <c r="D601" s="4"/>
      <c r="E601" s="4"/>
      <c r="F601" s="2" t="s">
        <v>9</v>
      </c>
      <c r="G601" s="7">
        <v>20.94</v>
      </c>
    </row>
    <row r="602" spans="2:7" ht="14.1" customHeight="1" x14ac:dyDescent="0.3">
      <c r="B602" s="4"/>
      <c r="C602" s="7"/>
      <c r="D602" s="7"/>
      <c r="E602" s="7"/>
      <c r="F602" s="7"/>
      <c r="G602" s="7"/>
    </row>
    <row r="603" spans="2:7" ht="14.1" customHeight="1" x14ac:dyDescent="0.3">
      <c r="B603" s="4">
        <v>161</v>
      </c>
      <c r="C603" s="7" t="s">
        <v>165</v>
      </c>
      <c r="D603" s="7"/>
      <c r="E603" s="7">
        <v>4.75</v>
      </c>
      <c r="F603" s="2" t="s">
        <v>9</v>
      </c>
      <c r="G603" s="7">
        <v>4.75</v>
      </c>
    </row>
    <row r="604" spans="2:7" ht="14.1" customHeight="1" x14ac:dyDescent="0.3">
      <c r="B604" s="4"/>
      <c r="C604" s="7"/>
      <c r="D604" s="7"/>
      <c r="E604" s="7"/>
      <c r="F604" s="7"/>
      <c r="G604" s="7"/>
    </row>
    <row r="605" spans="2:7" ht="14.1" customHeight="1" x14ac:dyDescent="0.3">
      <c r="B605" s="4">
        <f>+B603+1</f>
        <v>162</v>
      </c>
      <c r="C605" s="7" t="s">
        <v>45</v>
      </c>
      <c r="D605" s="7"/>
      <c r="E605" s="7">
        <v>4.75</v>
      </c>
      <c r="F605" s="2" t="s">
        <v>9</v>
      </c>
      <c r="G605" s="7">
        <v>4.75</v>
      </c>
    </row>
    <row r="606" spans="2:7" ht="14.1" customHeight="1" x14ac:dyDescent="0.3">
      <c r="B606" s="4"/>
      <c r="C606" s="7"/>
      <c r="D606" s="7"/>
      <c r="E606" s="7"/>
      <c r="F606" s="7"/>
      <c r="G606" s="7"/>
    </row>
    <row r="607" spans="2:7" ht="14.1" customHeight="1" x14ac:dyDescent="0.3">
      <c r="B607" s="4">
        <f>+B605+1</f>
        <v>163</v>
      </c>
      <c r="C607" s="7" t="s">
        <v>171</v>
      </c>
      <c r="D607" s="7"/>
      <c r="E607" s="7">
        <v>4</v>
      </c>
      <c r="F607" s="2" t="s">
        <v>9</v>
      </c>
      <c r="G607" s="7">
        <v>4</v>
      </c>
    </row>
    <row r="608" spans="2:7" ht="14.1" customHeight="1" x14ac:dyDescent="0.3">
      <c r="B608" s="4"/>
      <c r="C608" s="7"/>
      <c r="D608" s="7"/>
      <c r="E608" s="7"/>
      <c r="F608" s="7"/>
      <c r="G608" s="7"/>
    </row>
    <row r="609" spans="2:7" ht="14.1" customHeight="1" x14ac:dyDescent="0.3">
      <c r="B609" s="4">
        <v>164</v>
      </c>
      <c r="C609" s="7" t="s">
        <v>182</v>
      </c>
      <c r="D609" s="7"/>
      <c r="E609" s="7">
        <v>4.75</v>
      </c>
      <c r="F609" s="7">
        <v>4.41</v>
      </c>
      <c r="G609" s="7">
        <v>20.94</v>
      </c>
    </row>
    <row r="610" spans="2:7" ht="14.1" customHeight="1" x14ac:dyDescent="0.3">
      <c r="B610" s="4"/>
      <c r="C610" s="7"/>
      <c r="D610" s="7"/>
      <c r="E610" s="7"/>
      <c r="F610" s="2" t="s">
        <v>9</v>
      </c>
      <c r="G610" s="7">
        <v>20.94</v>
      </c>
    </row>
    <row r="611" spans="2:7" ht="14.1" customHeight="1" x14ac:dyDescent="0.3">
      <c r="B611" s="4"/>
      <c r="C611" s="7"/>
      <c r="D611" s="7"/>
      <c r="E611" s="7"/>
      <c r="F611" s="7"/>
      <c r="G611" s="7"/>
    </row>
  </sheetData>
  <mergeCells count="3">
    <mergeCell ref="B1:G1"/>
    <mergeCell ref="B2:G2"/>
    <mergeCell ref="B3:G3"/>
  </mergeCells>
  <pageMargins left="0.4" right="0.27" top="0.25" bottom="0.25" header="0.3" footer="0.3"/>
  <pageSetup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4"/>
  <sheetViews>
    <sheetView topLeftCell="A45" zoomScaleNormal="100" workbookViewId="0">
      <selection activeCell="A3" sqref="A3"/>
    </sheetView>
  </sheetViews>
  <sheetFormatPr defaultRowHeight="14.1" customHeight="1" x14ac:dyDescent="0.3"/>
  <cols>
    <col min="1" max="1" width="6.44140625" bestFit="1" customWidth="1"/>
    <col min="2" max="2" width="34.33203125" bestFit="1" customWidth="1"/>
    <col min="3" max="3" width="9.44140625" bestFit="1" customWidth="1"/>
    <col min="4" max="4" width="5.5546875" bestFit="1" customWidth="1"/>
    <col min="5" max="5" width="34.88671875" bestFit="1" customWidth="1"/>
    <col min="6" max="6" width="9.44140625" bestFit="1" customWidth="1"/>
  </cols>
  <sheetData>
    <row r="1" spans="1:6" ht="14.1" customHeight="1" x14ac:dyDescent="0.3">
      <c r="A1" s="67" t="s">
        <v>53</v>
      </c>
      <c r="B1" s="68"/>
      <c r="C1" s="68"/>
      <c r="D1" s="68"/>
      <c r="E1" s="68"/>
      <c r="F1" s="68"/>
    </row>
    <row r="2" spans="1:6" ht="14.1" customHeight="1" x14ac:dyDescent="0.3">
      <c r="A2" s="66" t="s">
        <v>95</v>
      </c>
      <c r="B2" s="66"/>
      <c r="C2" s="66"/>
      <c r="D2" s="66"/>
      <c r="E2" s="66"/>
      <c r="F2" s="66"/>
    </row>
    <row r="3" spans="1:6" ht="14.1" customHeight="1" x14ac:dyDescent="0.3">
      <c r="A3" s="22" t="s">
        <v>1</v>
      </c>
      <c r="B3" s="23" t="s">
        <v>2</v>
      </c>
      <c r="C3" s="55" t="s">
        <v>51</v>
      </c>
      <c r="D3" s="24" t="s">
        <v>1</v>
      </c>
      <c r="E3" s="23" t="s">
        <v>2</v>
      </c>
      <c r="F3" s="55" t="s">
        <v>51</v>
      </c>
    </row>
    <row r="4" spans="1:6" ht="14.1" customHeight="1" x14ac:dyDescent="0.3">
      <c r="A4" s="22"/>
      <c r="B4" s="23"/>
      <c r="C4" s="55" t="s">
        <v>52</v>
      </c>
      <c r="D4" s="25"/>
      <c r="E4" s="26"/>
      <c r="F4" s="55" t="s">
        <v>52</v>
      </c>
    </row>
    <row r="5" spans="1:6" ht="14.1" customHeight="1" x14ac:dyDescent="0.3">
      <c r="A5" s="27">
        <v>1</v>
      </c>
      <c r="B5" s="15" t="s">
        <v>8</v>
      </c>
      <c r="C5" s="28">
        <f>+'Measurment 3rd floor'!G14</f>
        <v>2.1225000000000001</v>
      </c>
      <c r="D5" s="29">
        <f>+A44+1</f>
        <v>4</v>
      </c>
      <c r="E5" s="7" t="s">
        <v>16</v>
      </c>
      <c r="F5" s="5">
        <f>+'Measurment 3rd floor'!G94</f>
        <v>2</v>
      </c>
    </row>
    <row r="6" spans="1:6" ht="14.1" customHeight="1" x14ac:dyDescent="0.3">
      <c r="A6" s="29"/>
      <c r="B6" s="5"/>
      <c r="C6" s="5">
        <f>+'Measurment 3rd floor'!G491</f>
        <v>0</v>
      </c>
      <c r="D6" s="29"/>
      <c r="E6" s="15"/>
      <c r="F6" s="5">
        <f>+'Measurment 3rd floor'!G545</f>
        <v>4.16</v>
      </c>
    </row>
    <row r="7" spans="1:6" ht="14.1" customHeight="1" x14ac:dyDescent="0.3">
      <c r="A7" s="29"/>
      <c r="B7" s="15"/>
      <c r="C7" s="5" t="e">
        <f>+'Measurment 3rd floor'!#REF!</f>
        <v>#REF!</v>
      </c>
      <c r="D7" s="29"/>
      <c r="E7" s="15"/>
      <c r="F7" s="5" t="e">
        <f>+'Measurment 3rd floor'!#REF!</f>
        <v>#REF!</v>
      </c>
    </row>
    <row r="8" spans="1:6" ht="14.1" customHeight="1" x14ac:dyDescent="0.3">
      <c r="A8" s="29"/>
      <c r="B8" s="15"/>
      <c r="C8" s="5" t="e">
        <f>+'Measurment 3rd floor'!#REF!</f>
        <v>#REF!</v>
      </c>
      <c r="D8" s="29"/>
      <c r="E8" s="15"/>
      <c r="F8" s="5" t="e">
        <f>+'Measurment 3rd floor'!#REF!</f>
        <v>#REF!</v>
      </c>
    </row>
    <row r="9" spans="1:6" ht="14.1" customHeight="1" x14ac:dyDescent="0.3">
      <c r="A9" s="29"/>
      <c r="B9" s="5"/>
      <c r="C9" s="5" t="e">
        <f>+'Measurment 3rd floor'!#REF!</f>
        <v>#REF!</v>
      </c>
      <c r="D9" s="29"/>
      <c r="E9" s="15"/>
      <c r="F9" s="5" t="e">
        <f>+'Measurment 3rd floor'!#REF!</f>
        <v>#REF!</v>
      </c>
    </row>
    <row r="10" spans="1:6" ht="14.1" customHeight="1" x14ac:dyDescent="0.3">
      <c r="A10" s="29"/>
      <c r="B10" s="15"/>
      <c r="C10" s="5" t="e">
        <f>+'Measurment 3rd floor'!#REF!</f>
        <v>#REF!</v>
      </c>
      <c r="D10" s="29"/>
      <c r="E10" s="15"/>
      <c r="F10" s="5" t="e">
        <f>+'Measurment 3rd floor'!#REF!</f>
        <v>#REF!</v>
      </c>
    </row>
    <row r="11" spans="1:6" ht="14.1" customHeight="1" x14ac:dyDescent="0.3">
      <c r="A11" s="29"/>
      <c r="B11" s="15"/>
      <c r="C11" s="5" t="e">
        <f>+'Measurment 3rd floor'!#REF!</f>
        <v>#REF!</v>
      </c>
      <c r="D11" s="29"/>
      <c r="E11" s="15"/>
      <c r="F11" s="5" t="e">
        <f>+'Measurment 3rd floor'!#REF!</f>
        <v>#REF!</v>
      </c>
    </row>
    <row r="12" spans="1:6" ht="14.1" customHeight="1" x14ac:dyDescent="0.3">
      <c r="A12" s="29"/>
      <c r="B12" s="15"/>
      <c r="C12" s="5" t="e">
        <f>+'Measurment 3rd floor'!#REF!</f>
        <v>#REF!</v>
      </c>
      <c r="D12" s="29"/>
      <c r="E12" s="15"/>
      <c r="F12" s="5" t="e">
        <f>+'Measurment 3rd floor'!#REF!</f>
        <v>#REF!</v>
      </c>
    </row>
    <row r="13" spans="1:6" ht="14.1" customHeight="1" x14ac:dyDescent="0.3">
      <c r="A13" s="29"/>
      <c r="B13" s="15"/>
      <c r="C13" s="5" t="e">
        <f>+'Measurment 3rd floor'!#REF!</f>
        <v>#REF!</v>
      </c>
      <c r="D13" s="29"/>
      <c r="E13" s="15"/>
      <c r="F13" s="5" t="e">
        <f>+'Measurment 3rd floor'!#REF!</f>
        <v>#REF!</v>
      </c>
    </row>
    <row r="14" spans="1:6" ht="14.1" customHeight="1" x14ac:dyDescent="0.3">
      <c r="A14" s="29"/>
      <c r="B14" s="15"/>
      <c r="C14" s="5" t="e">
        <f>+'Measurment 3rd floor'!#REF!</f>
        <v>#REF!</v>
      </c>
      <c r="D14" s="29"/>
      <c r="E14" s="15"/>
      <c r="F14" s="5" t="e">
        <f>+'Measurment 3rd floor'!#REF!</f>
        <v>#REF!</v>
      </c>
    </row>
    <row r="15" spans="1:6" ht="14.1" customHeight="1" x14ac:dyDescent="0.3">
      <c r="A15" s="29"/>
      <c r="B15" s="15"/>
      <c r="C15" s="5" t="e">
        <f>+'Measurment 3rd floor'!#REF!</f>
        <v>#REF!</v>
      </c>
      <c r="D15" s="29"/>
      <c r="E15" s="2" t="s">
        <v>49</v>
      </c>
      <c r="F15" s="2" t="e">
        <f>SUM(F5:F14)</f>
        <v>#REF!</v>
      </c>
    </row>
    <row r="16" spans="1:6" ht="14.1" customHeight="1" x14ac:dyDescent="0.3">
      <c r="A16" s="29"/>
      <c r="B16" s="15"/>
      <c r="C16" s="5" t="e">
        <f>+'Measurment 3rd floor'!#REF!</f>
        <v>#REF!</v>
      </c>
      <c r="D16" s="25"/>
      <c r="E16" s="26"/>
      <c r="F16" s="55"/>
    </row>
    <row r="17" spans="1:6" ht="14.1" customHeight="1" x14ac:dyDescent="0.3">
      <c r="A17" s="29"/>
      <c r="B17" s="2" t="s">
        <v>49</v>
      </c>
      <c r="C17" s="2" t="e">
        <f>SUM(C5:C16)</f>
        <v>#REF!</v>
      </c>
      <c r="D17" s="29">
        <f>+D5+1</f>
        <v>5</v>
      </c>
      <c r="E17" s="7" t="s">
        <v>48</v>
      </c>
      <c r="F17" s="5">
        <f>+'Measurment 3rd floor'!G247</f>
        <v>0</v>
      </c>
    </row>
    <row r="18" spans="1:6" ht="14.1" customHeight="1" x14ac:dyDescent="0.3">
      <c r="A18" s="29"/>
      <c r="B18" s="3"/>
      <c r="C18" s="5"/>
      <c r="D18" s="29"/>
      <c r="E18" s="15"/>
      <c r="F18" s="5" t="e">
        <f>+'Measurment 3rd floor'!#REF!</f>
        <v>#REF!</v>
      </c>
    </row>
    <row r="19" spans="1:6" ht="14.1" customHeight="1" x14ac:dyDescent="0.3">
      <c r="A19" s="29">
        <f>+A5+1</f>
        <v>2</v>
      </c>
      <c r="B19" s="7" t="s">
        <v>13</v>
      </c>
      <c r="C19" s="5">
        <f>+'Measurment 3rd floor'!G44</f>
        <v>0</v>
      </c>
      <c r="D19" s="29"/>
      <c r="E19" s="15"/>
      <c r="F19" s="5" t="e">
        <f>+'Measurment 3rd floor'!#REF!</f>
        <v>#REF!</v>
      </c>
    </row>
    <row r="20" spans="1:6" ht="14.1" customHeight="1" x14ac:dyDescent="0.3">
      <c r="A20" s="29"/>
      <c r="B20" s="5"/>
      <c r="C20" s="5">
        <f>+'Measurment 3rd floor'!G63</f>
        <v>2.75</v>
      </c>
      <c r="D20" s="29"/>
      <c r="E20" s="15"/>
      <c r="F20" s="5" t="e">
        <f>+'Measurment 3rd floor'!#REF!</f>
        <v>#REF!</v>
      </c>
    </row>
    <row r="21" spans="1:6" ht="14.1" customHeight="1" x14ac:dyDescent="0.3">
      <c r="A21" s="29"/>
      <c r="B21" s="5"/>
      <c r="C21" s="5">
        <f>+'Measurment 3rd floor'!G507</f>
        <v>0</v>
      </c>
      <c r="D21" s="29"/>
      <c r="E21" s="15"/>
      <c r="F21" s="5" t="e">
        <f>+'Measurment 3rd floor'!#REF!</f>
        <v>#REF!</v>
      </c>
    </row>
    <row r="22" spans="1:6" ht="14.1" customHeight="1" x14ac:dyDescent="0.3">
      <c r="A22" s="29"/>
      <c r="B22" s="5"/>
      <c r="C22" s="5">
        <f>+'Measurment 3rd floor'!G524</f>
        <v>0</v>
      </c>
      <c r="D22" s="29"/>
      <c r="E22" s="15"/>
      <c r="F22" s="5" t="e">
        <f>+'Measurment 3rd floor'!#REF!</f>
        <v>#REF!</v>
      </c>
    </row>
    <row r="23" spans="1:6" ht="14.1" customHeight="1" x14ac:dyDescent="0.3">
      <c r="A23" s="29"/>
      <c r="B23" s="5"/>
      <c r="C23" s="5" t="e">
        <f>+'Measurment 3rd floor'!#REF!</f>
        <v>#REF!</v>
      </c>
      <c r="D23" s="29"/>
      <c r="E23" s="15"/>
      <c r="F23" s="5" t="e">
        <f>+'Measurment 3rd floor'!#REF!</f>
        <v>#REF!</v>
      </c>
    </row>
    <row r="24" spans="1:6" ht="14.1" customHeight="1" x14ac:dyDescent="0.3">
      <c r="A24" s="29"/>
      <c r="B24" s="5"/>
      <c r="C24" s="5" t="e">
        <f>+'Measurment 3rd floor'!#REF!</f>
        <v>#REF!</v>
      </c>
      <c r="D24" s="29"/>
      <c r="E24" s="15"/>
      <c r="F24" s="5" t="e">
        <f>+'Measurment 3rd floor'!#REF!</f>
        <v>#REF!</v>
      </c>
    </row>
    <row r="25" spans="1:6" ht="14.1" customHeight="1" x14ac:dyDescent="0.3">
      <c r="A25" s="29"/>
      <c r="B25" s="5"/>
      <c r="C25" s="5" t="e">
        <f>+'Measurment 3rd floor'!#REF!</f>
        <v>#REF!</v>
      </c>
      <c r="D25" s="29"/>
      <c r="E25" s="15"/>
      <c r="F25" s="5" t="e">
        <f>+'Measurment 3rd floor'!#REF!</f>
        <v>#REF!</v>
      </c>
    </row>
    <row r="26" spans="1:6" ht="14.1" customHeight="1" x14ac:dyDescent="0.3">
      <c r="A26" s="29"/>
      <c r="B26" s="5"/>
      <c r="C26" s="5" t="e">
        <f>+'Measurment 3rd floor'!#REF!</f>
        <v>#REF!</v>
      </c>
      <c r="D26" s="29"/>
      <c r="E26" s="15"/>
      <c r="F26" s="5" t="e">
        <f>+'Measurment 3rd floor'!#REF!</f>
        <v>#REF!</v>
      </c>
    </row>
    <row r="27" spans="1:6" ht="14.1" customHeight="1" x14ac:dyDescent="0.3">
      <c r="A27" s="29"/>
      <c r="B27" s="5"/>
      <c r="C27" s="5" t="e">
        <f>+'Measurment 3rd floor'!#REF!</f>
        <v>#REF!</v>
      </c>
      <c r="D27" s="29"/>
      <c r="E27" s="15"/>
      <c r="F27" s="5" t="e">
        <f>+'Measurment 3rd floor'!#REF!</f>
        <v>#REF!</v>
      </c>
    </row>
    <row r="28" spans="1:6" ht="14.1" customHeight="1" x14ac:dyDescent="0.3">
      <c r="A28" s="29"/>
      <c r="B28" s="5"/>
      <c r="C28" s="5" t="e">
        <f>+'Measurment 3rd floor'!#REF!</f>
        <v>#REF!</v>
      </c>
      <c r="D28" s="29"/>
      <c r="E28" s="2" t="s">
        <v>49</v>
      </c>
      <c r="F28" s="2" t="e">
        <f>SUM(F17:F27)</f>
        <v>#REF!</v>
      </c>
    </row>
    <row r="29" spans="1:6" ht="14.1" customHeight="1" x14ac:dyDescent="0.3">
      <c r="A29" s="29"/>
      <c r="B29" s="5"/>
      <c r="C29" s="5" t="e">
        <f>+'Measurment 3rd floor'!#REF!</f>
        <v>#REF!</v>
      </c>
      <c r="D29" s="29"/>
      <c r="E29" s="15"/>
      <c r="F29" s="5"/>
    </row>
    <row r="30" spans="1:6" ht="14.1" customHeight="1" x14ac:dyDescent="0.3">
      <c r="A30" s="29"/>
      <c r="B30" s="5"/>
      <c r="C30" s="5" t="e">
        <f>+'Measurment 3rd floor'!#REF!</f>
        <v>#REF!</v>
      </c>
      <c r="D30" s="29">
        <f>+D17+1</f>
        <v>6</v>
      </c>
      <c r="E30" s="7" t="s">
        <v>34</v>
      </c>
      <c r="F30" s="5">
        <f>+'Measurment 3rd floor'!G425</f>
        <v>7.08</v>
      </c>
    </row>
    <row r="31" spans="1:6" ht="14.1" customHeight="1" x14ac:dyDescent="0.3">
      <c r="A31" s="29"/>
      <c r="B31" s="5"/>
      <c r="C31" s="5" t="e">
        <f>+'Measurment 3rd floor'!#REF!</f>
        <v>#REF!</v>
      </c>
      <c r="D31" s="29"/>
      <c r="E31" s="15"/>
      <c r="F31" s="5" t="e">
        <f>+'Measurment 3rd floor'!#REF!</f>
        <v>#REF!</v>
      </c>
    </row>
    <row r="32" spans="1:6" ht="14.1" customHeight="1" x14ac:dyDescent="0.3">
      <c r="A32" s="29"/>
      <c r="B32" s="5"/>
      <c r="C32" s="5" t="e">
        <f>+'Measurment 3rd floor'!#REF!</f>
        <v>#REF!</v>
      </c>
      <c r="D32" s="29"/>
      <c r="E32" s="15"/>
      <c r="F32" s="5" t="e">
        <f>+'Measurment 3rd floor'!#REF!</f>
        <v>#REF!</v>
      </c>
    </row>
    <row r="33" spans="1:6" ht="14.1" customHeight="1" x14ac:dyDescent="0.3">
      <c r="A33" s="29"/>
      <c r="B33" s="5"/>
      <c r="C33" s="5" t="e">
        <f>+'Measurment 3rd floor'!#REF!</f>
        <v>#REF!</v>
      </c>
      <c r="D33" s="29"/>
      <c r="E33" s="15"/>
      <c r="F33" s="5" t="e">
        <f>+'Measurment 3rd floor'!#REF!</f>
        <v>#REF!</v>
      </c>
    </row>
    <row r="34" spans="1:6" ht="14.1" customHeight="1" x14ac:dyDescent="0.3">
      <c r="A34" s="29"/>
      <c r="B34" s="5"/>
      <c r="C34" s="5" t="e">
        <f>+'Measurment 3rd floor'!#REF!</f>
        <v>#REF!</v>
      </c>
      <c r="D34" s="29"/>
      <c r="E34" s="15"/>
      <c r="F34" s="5" t="e">
        <f>+'Measurment 3rd floor'!#REF!</f>
        <v>#REF!</v>
      </c>
    </row>
    <row r="35" spans="1:6" ht="14.1" customHeight="1" x14ac:dyDescent="0.3">
      <c r="A35" s="29"/>
      <c r="B35" s="5"/>
      <c r="C35" s="5" t="e">
        <f>+'Measurment 3rd floor'!#REF!</f>
        <v>#REF!</v>
      </c>
      <c r="D35" s="29"/>
      <c r="E35" s="15"/>
      <c r="F35" s="5" t="e">
        <f>+'Measurment 3rd floor'!#REF!</f>
        <v>#REF!</v>
      </c>
    </row>
    <row r="36" spans="1:6" ht="14.1" customHeight="1" x14ac:dyDescent="0.3">
      <c r="A36" s="29"/>
      <c r="B36" s="5"/>
      <c r="C36" s="5" t="e">
        <f>+'Measurment 3rd floor'!#REF!</f>
        <v>#REF!</v>
      </c>
      <c r="D36" s="29"/>
      <c r="E36" s="15"/>
      <c r="F36" s="5" t="e">
        <f>+'Measurment 3rd floor'!#REF!</f>
        <v>#REF!</v>
      </c>
    </row>
    <row r="37" spans="1:6" ht="14.1" customHeight="1" x14ac:dyDescent="0.3">
      <c r="A37" s="29"/>
      <c r="B37" s="5"/>
      <c r="C37" s="5" t="e">
        <f>+'Measurment 3rd floor'!#REF!</f>
        <v>#REF!</v>
      </c>
      <c r="D37" s="29"/>
      <c r="E37" s="15"/>
      <c r="F37" s="5" t="e">
        <f>+'Measurment 3rd floor'!#REF!</f>
        <v>#REF!</v>
      </c>
    </row>
    <row r="38" spans="1:6" ht="14.1" customHeight="1" x14ac:dyDescent="0.3">
      <c r="A38" s="29"/>
      <c r="B38" s="5"/>
      <c r="C38" s="5" t="e">
        <f>+'Measurment 3rd floor'!#REF!</f>
        <v>#REF!</v>
      </c>
      <c r="D38" s="29"/>
      <c r="E38" s="15"/>
      <c r="F38" s="5" t="e">
        <f>+'Measurment 3rd floor'!#REF!</f>
        <v>#REF!</v>
      </c>
    </row>
    <row r="39" spans="1:6" ht="14.1" customHeight="1" x14ac:dyDescent="0.3">
      <c r="A39" s="29"/>
      <c r="B39" s="5"/>
      <c r="C39" s="5" t="e">
        <f>+'Measurment 3rd floor'!#REF!</f>
        <v>#REF!</v>
      </c>
      <c r="D39" s="29"/>
      <c r="E39" s="15"/>
      <c r="F39" s="5" t="e">
        <f>+'Measurment 3rd floor'!#REF!</f>
        <v>#REF!</v>
      </c>
    </row>
    <row r="40" spans="1:6" ht="14.1" customHeight="1" x14ac:dyDescent="0.3">
      <c r="A40" s="29"/>
      <c r="B40" s="5"/>
      <c r="C40" s="5" t="e">
        <f>+'Measurment 3rd floor'!#REF!</f>
        <v>#REF!</v>
      </c>
      <c r="D40" s="29"/>
      <c r="E40" s="15"/>
      <c r="F40" s="5" t="e">
        <f>+'Measurment 3rd floor'!#REF!</f>
        <v>#REF!</v>
      </c>
    </row>
    <row r="41" spans="1:6" ht="14.1" customHeight="1" x14ac:dyDescent="0.3">
      <c r="A41" s="29"/>
      <c r="B41" s="5"/>
      <c r="C41" s="5" t="e">
        <f>+'Measurment 3rd floor'!#REF!</f>
        <v>#REF!</v>
      </c>
      <c r="D41" s="29"/>
      <c r="E41" s="2" t="s">
        <v>49</v>
      </c>
      <c r="F41" s="2" t="e">
        <f>SUM(F30:F40)</f>
        <v>#REF!</v>
      </c>
    </row>
    <row r="42" spans="1:6" ht="14.1" customHeight="1" x14ac:dyDescent="0.3">
      <c r="A42" s="29"/>
      <c r="B42" s="2" t="s">
        <v>49</v>
      </c>
      <c r="C42" s="2" t="e">
        <f>SUM(C19:C41)</f>
        <v>#REF!</v>
      </c>
      <c r="D42" s="29"/>
      <c r="E42" s="15"/>
      <c r="F42" s="2"/>
    </row>
    <row r="43" spans="1:6" ht="14.1" customHeight="1" x14ac:dyDescent="0.3">
      <c r="A43" s="29"/>
      <c r="B43" s="15"/>
      <c r="C43" s="5"/>
      <c r="D43" s="29">
        <f>+D30+1</f>
        <v>7</v>
      </c>
      <c r="E43" s="7" t="s">
        <v>35</v>
      </c>
      <c r="F43" s="5">
        <f>+'Measurment 3rd floor'!G436</f>
        <v>0</v>
      </c>
    </row>
    <row r="44" spans="1:6" ht="14.1" customHeight="1" x14ac:dyDescent="0.3">
      <c r="A44" s="29">
        <f>+A19+1</f>
        <v>3</v>
      </c>
      <c r="B44" s="7" t="s">
        <v>15</v>
      </c>
      <c r="C44" s="5">
        <f>+'Measurment 3rd floor'!G84</f>
        <v>7.66</v>
      </c>
      <c r="D44" s="29"/>
      <c r="E44" s="15"/>
      <c r="F44" s="5" t="e">
        <f>+'Measurment 3rd floor'!#REF!</f>
        <v>#REF!</v>
      </c>
    </row>
    <row r="45" spans="1:6" ht="14.1" customHeight="1" x14ac:dyDescent="0.3">
      <c r="A45" s="29"/>
      <c r="B45" s="15"/>
      <c r="C45" s="5">
        <f>+'Measurment 3rd floor'!G539</f>
        <v>6.5</v>
      </c>
      <c r="D45" s="29"/>
      <c r="E45" s="15"/>
      <c r="F45" s="5" t="e">
        <f>+'Measurment 3rd floor'!#REF!</f>
        <v>#REF!</v>
      </c>
    </row>
    <row r="46" spans="1:6" ht="14.1" customHeight="1" x14ac:dyDescent="0.3">
      <c r="A46" s="29"/>
      <c r="B46" s="15"/>
      <c r="C46" s="5" t="e">
        <f>+'Measurment 3rd floor'!#REF!</f>
        <v>#REF!</v>
      </c>
      <c r="D46" s="29"/>
      <c r="E46" s="15"/>
      <c r="F46" s="5" t="e">
        <f>+'Measurment 3rd floor'!#REF!</f>
        <v>#REF!</v>
      </c>
    </row>
    <row r="47" spans="1:6" ht="14.1" customHeight="1" x14ac:dyDescent="0.3">
      <c r="A47" s="29"/>
      <c r="B47" s="15"/>
      <c r="C47" s="5" t="e">
        <f>+'Measurment 3rd floor'!#REF!</f>
        <v>#REF!</v>
      </c>
      <c r="D47" s="29"/>
      <c r="E47" s="15"/>
      <c r="F47" s="5" t="e">
        <f>+'Measurment 3rd floor'!#REF!</f>
        <v>#REF!</v>
      </c>
    </row>
    <row r="48" spans="1:6" ht="14.1" customHeight="1" x14ac:dyDescent="0.3">
      <c r="A48" s="29"/>
      <c r="B48" s="15"/>
      <c r="C48" s="5" t="e">
        <f>+'Measurment 3rd floor'!#REF!</f>
        <v>#REF!</v>
      </c>
      <c r="D48" s="29"/>
      <c r="E48" s="15"/>
      <c r="F48" s="5" t="e">
        <f>+'Measurment 3rd floor'!#REF!</f>
        <v>#REF!</v>
      </c>
    </row>
    <row r="49" spans="1:6" ht="14.1" customHeight="1" x14ac:dyDescent="0.3">
      <c r="A49" s="29"/>
      <c r="B49" s="15"/>
      <c r="C49" s="5" t="e">
        <f>+'Measurment 3rd floor'!#REF!</f>
        <v>#REF!</v>
      </c>
      <c r="D49" s="29"/>
      <c r="E49" s="15"/>
      <c r="F49" s="5" t="e">
        <f>+'Measurment 3rd floor'!#REF!</f>
        <v>#REF!</v>
      </c>
    </row>
    <row r="50" spans="1:6" ht="14.1" customHeight="1" x14ac:dyDescent="0.3">
      <c r="A50" s="29"/>
      <c r="B50" s="15"/>
      <c r="C50" s="5" t="e">
        <f>+'Measurment 3rd floor'!#REF!</f>
        <v>#REF!</v>
      </c>
      <c r="D50" s="29"/>
      <c r="E50" s="15"/>
      <c r="F50" s="5" t="e">
        <f>+'Measurment 3rd floor'!#REF!</f>
        <v>#REF!</v>
      </c>
    </row>
    <row r="51" spans="1:6" ht="14.1" customHeight="1" x14ac:dyDescent="0.3">
      <c r="A51" s="29"/>
      <c r="B51" s="15"/>
      <c r="C51" s="5" t="e">
        <f>+'Measurment 3rd floor'!#REF!</f>
        <v>#REF!</v>
      </c>
      <c r="D51" s="29"/>
      <c r="E51" s="15"/>
      <c r="F51" s="5" t="e">
        <f>+'Measurment 3rd floor'!#REF!</f>
        <v>#REF!</v>
      </c>
    </row>
    <row r="52" spans="1:6" ht="14.1" customHeight="1" x14ac:dyDescent="0.3">
      <c r="A52" s="29"/>
      <c r="B52" s="15"/>
      <c r="C52" s="5" t="e">
        <f>+'Measurment 3rd floor'!#REF!</f>
        <v>#REF!</v>
      </c>
      <c r="D52" s="29"/>
      <c r="E52" s="15"/>
      <c r="F52" s="5" t="e">
        <f>+'Measurment 3rd floor'!#REF!</f>
        <v>#REF!</v>
      </c>
    </row>
    <row r="53" spans="1:6" ht="14.1" customHeight="1" x14ac:dyDescent="0.3">
      <c r="A53" s="29"/>
      <c r="B53" s="15"/>
      <c r="C53" s="5" t="e">
        <f>+'Measurment 3rd floor'!#REF!</f>
        <v>#REF!</v>
      </c>
      <c r="D53" s="29"/>
      <c r="E53" s="15"/>
      <c r="F53" s="5" t="e">
        <f>+'Measurment 3rd floor'!#REF!</f>
        <v>#REF!</v>
      </c>
    </row>
    <row r="54" spans="1:6" ht="14.1" customHeight="1" x14ac:dyDescent="0.3">
      <c r="A54" s="29"/>
      <c r="B54" s="15"/>
      <c r="C54" s="5" t="e">
        <f>+'Measurment 3rd floor'!#REF!</f>
        <v>#REF!</v>
      </c>
      <c r="D54" s="29"/>
      <c r="E54" s="2" t="s">
        <v>49</v>
      </c>
      <c r="F54" s="2" t="e">
        <f>SUM(F43:F53)</f>
        <v>#REF!</v>
      </c>
    </row>
    <row r="55" spans="1:6" ht="14.1" customHeight="1" x14ac:dyDescent="0.3">
      <c r="A55" s="29"/>
      <c r="B55" s="2" t="s">
        <v>49</v>
      </c>
      <c r="C55" s="2" t="e">
        <f>SUM(C44:C54)</f>
        <v>#REF!</v>
      </c>
      <c r="D55" s="25"/>
      <c r="E55" s="26"/>
      <c r="F55" s="55"/>
    </row>
    <row r="56" spans="1:6" ht="14.1" customHeight="1" x14ac:dyDescent="0.3">
      <c r="A56" s="29">
        <f>+D43+1</f>
        <v>8</v>
      </c>
      <c r="B56" s="7" t="s">
        <v>10</v>
      </c>
      <c r="C56" s="5">
        <f>+'Measurment 3rd floor'!G27</f>
        <v>242.5915</v>
      </c>
      <c r="D56" s="25"/>
      <c r="E56" s="16" t="s">
        <v>61</v>
      </c>
      <c r="F56" s="2" t="e">
        <f>+C110</f>
        <v>#REF!</v>
      </c>
    </row>
    <row r="57" spans="1:6" ht="14.1" customHeight="1" x14ac:dyDescent="0.3">
      <c r="A57" s="29"/>
      <c r="B57" s="15"/>
      <c r="C57" s="5">
        <f>+'Measurment 3rd floor'!G46</f>
        <v>15</v>
      </c>
      <c r="D57" s="29"/>
      <c r="E57" s="15"/>
      <c r="F57" s="5" t="e">
        <f>+'Measurment 3rd floor'!#REF!</f>
        <v>#REF!</v>
      </c>
    </row>
    <row r="58" spans="1:6" ht="14.1" customHeight="1" x14ac:dyDescent="0.3">
      <c r="A58" s="29"/>
      <c r="B58" s="15"/>
      <c r="C58" s="5">
        <f>+'Measurment 3rd floor'!G494</f>
        <v>5.5</v>
      </c>
      <c r="D58" s="29"/>
      <c r="E58" s="15"/>
      <c r="F58" s="5" t="e">
        <f>+'Measurment 3rd floor'!#REF!</f>
        <v>#REF!</v>
      </c>
    </row>
    <row r="59" spans="1:6" ht="14.1" customHeight="1" x14ac:dyDescent="0.3">
      <c r="A59" s="29"/>
      <c r="B59" s="15"/>
      <c r="C59" s="5">
        <f>+'Measurment 3rd floor'!G510</f>
        <v>14</v>
      </c>
      <c r="D59" s="29"/>
      <c r="E59" s="15"/>
      <c r="F59" s="5" t="e">
        <f>+'Measurment 3rd floor'!#REF!</f>
        <v>#REF!</v>
      </c>
    </row>
    <row r="60" spans="1:6" ht="14.1" customHeight="1" x14ac:dyDescent="0.3">
      <c r="A60" s="29"/>
      <c r="B60" s="15"/>
      <c r="C60" s="5" t="e">
        <f>+'Measurment 3rd floor'!#REF!</f>
        <v>#REF!</v>
      </c>
      <c r="D60" s="29"/>
      <c r="E60" s="15"/>
      <c r="F60" s="5" t="e">
        <f>+'Measurment 3rd floor'!#REF!</f>
        <v>#REF!</v>
      </c>
    </row>
    <row r="61" spans="1:6" ht="14.1" customHeight="1" x14ac:dyDescent="0.3">
      <c r="A61" s="29"/>
      <c r="B61" s="15"/>
      <c r="C61" s="5" t="e">
        <f>+'Measurment 3rd floor'!#REF!</f>
        <v>#REF!</v>
      </c>
      <c r="D61" s="29"/>
      <c r="E61" s="15"/>
      <c r="F61" s="5" t="e">
        <f>+'Measurment 3rd floor'!#REF!</f>
        <v>#REF!</v>
      </c>
    </row>
    <row r="62" spans="1:6" ht="14.1" customHeight="1" x14ac:dyDescent="0.3">
      <c r="A62" s="29"/>
      <c r="B62" s="15"/>
      <c r="C62" s="5" t="e">
        <f>+'Measurment 3rd floor'!#REF!</f>
        <v>#REF!</v>
      </c>
      <c r="D62" s="29"/>
      <c r="E62" s="15"/>
      <c r="F62" s="5" t="e">
        <f>+'Measurment 3rd floor'!#REF!</f>
        <v>#REF!</v>
      </c>
    </row>
    <row r="63" spans="1:6" ht="14.1" customHeight="1" x14ac:dyDescent="0.3">
      <c r="A63" s="29"/>
      <c r="B63" s="15"/>
      <c r="C63" s="5" t="e">
        <f>+'Measurment 3rd floor'!#REF!</f>
        <v>#REF!</v>
      </c>
      <c r="D63" s="29"/>
      <c r="E63" s="15"/>
      <c r="F63" s="5" t="e">
        <f>+'Measurment 3rd floor'!#REF!</f>
        <v>#REF!</v>
      </c>
    </row>
    <row r="64" spans="1:6" ht="14.1" customHeight="1" x14ac:dyDescent="0.3">
      <c r="A64" s="29"/>
      <c r="B64" s="15"/>
      <c r="C64" s="5" t="e">
        <f>+'Measurment 3rd floor'!#REF!</f>
        <v>#REF!</v>
      </c>
      <c r="D64" s="29"/>
      <c r="E64" s="15"/>
      <c r="F64" s="5" t="e">
        <f>+'Measurment 3rd floor'!#REF!</f>
        <v>#REF!</v>
      </c>
    </row>
    <row r="65" spans="1:6" ht="14.1" customHeight="1" x14ac:dyDescent="0.3">
      <c r="A65" s="29"/>
      <c r="B65" s="15"/>
      <c r="C65" s="5" t="e">
        <f>+'Measurment 3rd floor'!#REF!</f>
        <v>#REF!</v>
      </c>
      <c r="D65" s="29"/>
      <c r="E65" s="15"/>
      <c r="F65" s="5" t="e">
        <f>+'Measurment 3rd floor'!#REF!</f>
        <v>#REF!</v>
      </c>
    </row>
    <row r="66" spans="1:6" ht="14.1" customHeight="1" x14ac:dyDescent="0.3">
      <c r="A66" s="29"/>
      <c r="B66" s="15"/>
      <c r="C66" s="5" t="e">
        <f>+'Measurment 3rd floor'!#REF!</f>
        <v>#REF!</v>
      </c>
      <c r="D66" s="29"/>
      <c r="E66" s="15"/>
      <c r="F66" s="5" t="e">
        <f>+'Measurment 3rd floor'!#REF!</f>
        <v>#REF!</v>
      </c>
    </row>
    <row r="67" spans="1:6" ht="14.1" customHeight="1" x14ac:dyDescent="0.3">
      <c r="A67" s="29"/>
      <c r="B67" s="15"/>
      <c r="C67" s="5" t="e">
        <f>+'Measurment 3rd floor'!#REF!</f>
        <v>#REF!</v>
      </c>
      <c r="D67" s="29"/>
      <c r="E67" s="15"/>
      <c r="F67" s="5" t="e">
        <f>+'Measurment 3rd floor'!#REF!</f>
        <v>#REF!</v>
      </c>
    </row>
    <row r="68" spans="1:6" ht="14.1" customHeight="1" x14ac:dyDescent="0.3">
      <c r="A68" s="29"/>
      <c r="B68" s="15"/>
      <c r="C68" s="5" t="e">
        <f>+'Measurment 3rd floor'!#REF!</f>
        <v>#REF!</v>
      </c>
      <c r="D68" s="29"/>
      <c r="E68" s="15"/>
      <c r="F68" s="5" t="e">
        <f>+'Measurment 3rd floor'!#REF!</f>
        <v>#REF!</v>
      </c>
    </row>
    <row r="69" spans="1:6" ht="14.1" customHeight="1" x14ac:dyDescent="0.3">
      <c r="A69" s="29"/>
      <c r="B69" s="15"/>
      <c r="C69" s="5" t="e">
        <f>+'Measurment 3rd floor'!#REF!</f>
        <v>#REF!</v>
      </c>
      <c r="D69" s="29"/>
      <c r="E69" s="15"/>
      <c r="F69" s="5" t="e">
        <f>+'Measurment 3rd floor'!#REF!</f>
        <v>#REF!</v>
      </c>
    </row>
    <row r="70" spans="1:6" ht="14.1" customHeight="1" x14ac:dyDescent="0.3">
      <c r="A70" s="29"/>
      <c r="B70" s="15"/>
      <c r="C70" s="5" t="e">
        <f>+'Measurment 3rd floor'!#REF!</f>
        <v>#REF!</v>
      </c>
      <c r="D70" s="29"/>
      <c r="E70" s="15"/>
      <c r="F70" s="5" t="e">
        <f>+'Measurment 3rd floor'!#REF!</f>
        <v>#REF!</v>
      </c>
    </row>
    <row r="71" spans="1:6" ht="14.1" customHeight="1" x14ac:dyDescent="0.3">
      <c r="A71" s="29"/>
      <c r="B71" s="15"/>
      <c r="C71" s="5" t="e">
        <f>+'Measurment 3rd floor'!#REF!</f>
        <v>#REF!</v>
      </c>
      <c r="D71" s="29"/>
      <c r="E71" s="17"/>
      <c r="F71" s="5" t="e">
        <f>+'Measurment 3rd floor'!#REF!</f>
        <v>#REF!</v>
      </c>
    </row>
    <row r="72" spans="1:6" ht="14.1" customHeight="1" x14ac:dyDescent="0.3">
      <c r="A72" s="29"/>
      <c r="B72" s="15"/>
      <c r="C72" s="5" t="e">
        <f>+'Measurment 3rd floor'!#REF!</f>
        <v>#REF!</v>
      </c>
      <c r="D72" s="29"/>
      <c r="E72" s="15"/>
      <c r="F72" s="5" t="e">
        <f>+'Measurment 3rd floor'!#REF!</f>
        <v>#REF!</v>
      </c>
    </row>
    <row r="73" spans="1:6" ht="14.1" customHeight="1" x14ac:dyDescent="0.3">
      <c r="A73" s="29"/>
      <c r="B73" s="15"/>
      <c r="C73" s="5" t="e">
        <f>+'Measurment 3rd floor'!#REF!</f>
        <v>#REF!</v>
      </c>
      <c r="D73" s="29"/>
      <c r="E73" s="15"/>
      <c r="F73" s="5" t="e">
        <f>+'Measurment 3rd floor'!#REF!</f>
        <v>#REF!</v>
      </c>
    </row>
    <row r="74" spans="1:6" ht="14.1" customHeight="1" x14ac:dyDescent="0.3">
      <c r="A74" s="29"/>
      <c r="B74" s="15"/>
      <c r="C74" s="5" t="e">
        <f>+'Measurment 3rd floor'!#REF!</f>
        <v>#REF!</v>
      </c>
      <c r="D74" s="29"/>
      <c r="E74" s="15"/>
      <c r="F74" s="5" t="e">
        <f>+'Measurment 3rd floor'!#REF!</f>
        <v>#REF!</v>
      </c>
    </row>
    <row r="75" spans="1:6" ht="14.1" customHeight="1" x14ac:dyDescent="0.3">
      <c r="A75" s="29"/>
      <c r="B75" s="15"/>
      <c r="C75" s="5" t="e">
        <f>+'Measurment 3rd floor'!#REF!</f>
        <v>#REF!</v>
      </c>
      <c r="D75" s="29"/>
      <c r="E75" s="15"/>
      <c r="F75" s="5" t="e">
        <f>+'Measurment 3rd floor'!#REF!</f>
        <v>#REF!</v>
      </c>
    </row>
    <row r="76" spans="1:6" ht="14.1" customHeight="1" x14ac:dyDescent="0.3">
      <c r="A76" s="29"/>
      <c r="B76" s="15"/>
      <c r="C76" s="5" t="e">
        <f>+'Measurment 3rd floor'!#REF!</f>
        <v>#REF!</v>
      </c>
      <c r="D76" s="29"/>
      <c r="E76" s="15"/>
      <c r="F76" s="5" t="e">
        <f>+'Measurment 3rd floor'!#REF!</f>
        <v>#REF!</v>
      </c>
    </row>
    <row r="77" spans="1:6" ht="14.1" customHeight="1" x14ac:dyDescent="0.3">
      <c r="A77" s="29"/>
      <c r="B77" s="15"/>
      <c r="C77" s="5" t="e">
        <f>+'Measurment 3rd floor'!#REF!</f>
        <v>#REF!</v>
      </c>
      <c r="D77" s="29"/>
      <c r="E77" s="15"/>
      <c r="F77" s="5" t="e">
        <f>+'Measurment 3rd floor'!#REF!</f>
        <v>#REF!</v>
      </c>
    </row>
    <row r="78" spans="1:6" ht="14.1" customHeight="1" x14ac:dyDescent="0.3">
      <c r="A78" s="29"/>
      <c r="B78" s="15"/>
      <c r="C78" s="5" t="e">
        <f>+'Measurment 3rd floor'!#REF!</f>
        <v>#REF!</v>
      </c>
      <c r="D78" s="29"/>
      <c r="E78" s="15"/>
      <c r="F78" s="5" t="e">
        <f>+'Measurment 3rd floor'!#REF!</f>
        <v>#REF!</v>
      </c>
    </row>
    <row r="79" spans="1:6" ht="14.1" customHeight="1" x14ac:dyDescent="0.3">
      <c r="A79" s="29"/>
      <c r="B79" s="15"/>
      <c r="C79" s="5" t="e">
        <f>+'Measurment 3rd floor'!#REF!</f>
        <v>#REF!</v>
      </c>
      <c r="D79" s="29"/>
      <c r="E79" s="15"/>
      <c r="F79" s="5" t="e">
        <f>+'Measurment 3rd floor'!#REF!</f>
        <v>#REF!</v>
      </c>
    </row>
    <row r="80" spans="1:6" ht="14.1" customHeight="1" x14ac:dyDescent="0.3">
      <c r="A80" s="29"/>
      <c r="B80" s="2" t="s">
        <v>49</v>
      </c>
      <c r="C80" s="2" t="e">
        <f>SUM(C56:C79)</f>
        <v>#REF!</v>
      </c>
      <c r="D80" s="29"/>
      <c r="E80" s="15"/>
      <c r="F80" s="5" t="e">
        <f>+'Measurment 3rd floor'!#REF!</f>
        <v>#REF!</v>
      </c>
    </row>
    <row r="81" spans="1:6" ht="14.1" customHeight="1" x14ac:dyDescent="0.3">
      <c r="A81" s="29"/>
      <c r="B81" s="15"/>
      <c r="C81" s="5"/>
      <c r="D81" s="29"/>
      <c r="E81" s="15"/>
      <c r="F81" s="5" t="e">
        <f>+'Measurment 3rd floor'!#REF!</f>
        <v>#REF!</v>
      </c>
    </row>
    <row r="82" spans="1:6" ht="14.1" customHeight="1" x14ac:dyDescent="0.3">
      <c r="A82" s="29">
        <f>+A56+1</f>
        <v>9</v>
      </c>
      <c r="B82" s="7" t="s">
        <v>12</v>
      </c>
      <c r="C82" s="5">
        <f>+'Measurment 3rd floor'!G30</f>
        <v>12.833100000000002</v>
      </c>
      <c r="D82" s="29"/>
      <c r="E82" s="15"/>
      <c r="F82" s="5" t="e">
        <f>+'Measurment 3rd floor'!#REF!</f>
        <v>#REF!</v>
      </c>
    </row>
    <row r="83" spans="1:6" ht="14.1" customHeight="1" x14ac:dyDescent="0.3">
      <c r="A83" s="29"/>
      <c r="B83" s="15"/>
      <c r="C83" s="5">
        <f>+'Measurment 3rd floor'!G49</f>
        <v>4.33</v>
      </c>
      <c r="D83" s="29"/>
      <c r="E83" s="15"/>
      <c r="F83" s="5" t="e">
        <f>+'Measurment 3rd floor'!#REF!</f>
        <v>#REF!</v>
      </c>
    </row>
    <row r="84" spans="1:6" ht="14.1" customHeight="1" x14ac:dyDescent="0.3">
      <c r="A84" s="29"/>
      <c r="B84" s="15"/>
      <c r="C84" s="5">
        <f>+'Measurment 3rd floor'!G67</f>
        <v>9.73</v>
      </c>
      <c r="D84" s="29"/>
      <c r="E84" s="15"/>
      <c r="F84" s="5" t="e">
        <f>+'Measurment 3rd floor'!#REF!</f>
        <v>#REF!</v>
      </c>
    </row>
    <row r="85" spans="1:6" ht="14.1" customHeight="1" x14ac:dyDescent="0.3">
      <c r="A85" s="29"/>
      <c r="B85" s="15"/>
      <c r="C85" s="5">
        <f>+'Measurment 3rd floor'!G87</f>
        <v>0</v>
      </c>
      <c r="D85" s="29"/>
      <c r="E85" s="15"/>
      <c r="F85" s="5" t="e">
        <f>+'Measurment 3rd floor'!#REF!</f>
        <v>#REF!</v>
      </c>
    </row>
    <row r="86" spans="1:6" ht="14.1" customHeight="1" x14ac:dyDescent="0.3">
      <c r="A86" s="29"/>
      <c r="B86" s="15"/>
      <c r="C86" s="5">
        <f>+'Measurment 3rd floor'!G96</f>
        <v>0</v>
      </c>
      <c r="D86" s="29"/>
      <c r="E86" s="15"/>
      <c r="F86" s="5" t="e">
        <f>+'Measurment 3rd floor'!#REF!</f>
        <v>#REF!</v>
      </c>
    </row>
    <row r="87" spans="1:6" ht="14.1" customHeight="1" x14ac:dyDescent="0.3">
      <c r="A87" s="29"/>
      <c r="B87" s="15"/>
      <c r="C87" s="5">
        <f>+'Measurment 3rd floor'!G250</f>
        <v>0</v>
      </c>
      <c r="D87" s="29"/>
      <c r="E87" s="15"/>
      <c r="F87" s="5" t="e">
        <f>+'Measurment 3rd floor'!#REF!</f>
        <v>#REF!</v>
      </c>
    </row>
    <row r="88" spans="1:6" ht="14.1" customHeight="1" x14ac:dyDescent="0.3">
      <c r="A88" s="29"/>
      <c r="B88" s="15"/>
      <c r="C88" s="5">
        <f>+'Measurment 3rd floor'!G428</f>
        <v>1</v>
      </c>
      <c r="D88" s="29"/>
      <c r="E88" s="15"/>
      <c r="F88" s="5" t="e">
        <f>+'Measurment 3rd floor'!#REF!</f>
        <v>#REF!</v>
      </c>
    </row>
    <row r="89" spans="1:6" ht="14.1" customHeight="1" x14ac:dyDescent="0.3">
      <c r="A89" s="29"/>
      <c r="B89" s="15"/>
      <c r="C89" s="5">
        <f>+'Measurment 3rd floor'!G438</f>
        <v>72.56</v>
      </c>
      <c r="D89" s="29"/>
      <c r="E89" s="15"/>
      <c r="F89" s="5" t="e">
        <f>+'Measurment 3rd floor'!#REF!</f>
        <v>#REF!</v>
      </c>
    </row>
    <row r="90" spans="1:6" ht="14.1" customHeight="1" x14ac:dyDescent="0.3">
      <c r="A90" s="29"/>
      <c r="B90" s="15"/>
      <c r="C90" s="5">
        <f>+'Measurment 3rd floor'!G497</f>
        <v>5.25</v>
      </c>
      <c r="D90" s="29"/>
      <c r="E90" s="17"/>
      <c r="F90" s="5" t="e">
        <f>+'Measurment 3rd floor'!#REF!</f>
        <v>#REF!</v>
      </c>
    </row>
    <row r="91" spans="1:6" ht="14.1" customHeight="1" x14ac:dyDescent="0.3">
      <c r="A91" s="29"/>
      <c r="B91" s="15"/>
      <c r="C91" s="5">
        <f>+'Measurment 3rd floor'!G513</f>
        <v>7</v>
      </c>
      <c r="D91" s="29"/>
      <c r="E91" s="15"/>
      <c r="F91" s="5" t="e">
        <f>+'Measurment 3rd floor'!#REF!</f>
        <v>#REF!</v>
      </c>
    </row>
    <row r="92" spans="1:6" ht="14.1" customHeight="1" x14ac:dyDescent="0.3">
      <c r="A92" s="29"/>
      <c r="B92" s="15"/>
      <c r="C92" s="5">
        <f>+'Measurment 3rd floor'!G526</f>
        <v>0</v>
      </c>
      <c r="D92" s="29"/>
      <c r="E92" s="15"/>
      <c r="F92" s="5" t="e">
        <f>+'Measurment 3rd floor'!#REF!</f>
        <v>#REF!</v>
      </c>
    </row>
    <row r="93" spans="1:6" ht="14.1" customHeight="1" x14ac:dyDescent="0.3">
      <c r="A93" s="29"/>
      <c r="B93" s="15"/>
      <c r="C93" s="5">
        <f>+'Measurment 3rd floor'!G541</f>
        <v>0</v>
      </c>
      <c r="D93" s="29"/>
      <c r="E93" s="15"/>
      <c r="F93" s="5" t="e">
        <f>+'Measurment 3rd floor'!#REF!</f>
        <v>#REF!</v>
      </c>
    </row>
    <row r="94" spans="1:6" ht="14.1" customHeight="1" x14ac:dyDescent="0.3">
      <c r="A94" s="29"/>
      <c r="B94" s="15"/>
      <c r="C94" s="5" t="e">
        <f>+'Measurment 3rd floor'!#REF!</f>
        <v>#REF!</v>
      </c>
      <c r="D94" s="29"/>
      <c r="E94" s="15"/>
      <c r="F94" s="5" t="e">
        <f>+'Measurment 3rd floor'!#REF!</f>
        <v>#REF!</v>
      </c>
    </row>
    <row r="95" spans="1:6" ht="14.1" customHeight="1" x14ac:dyDescent="0.3">
      <c r="A95" s="29"/>
      <c r="B95" s="15"/>
      <c r="C95" s="5" t="e">
        <f>+'Measurment 3rd floor'!#REF!</f>
        <v>#REF!</v>
      </c>
      <c r="D95" s="29"/>
      <c r="E95" s="15"/>
      <c r="F95" s="5" t="e">
        <f>+'Measurment 3rd floor'!#REF!</f>
        <v>#REF!</v>
      </c>
    </row>
    <row r="96" spans="1:6" ht="14.1" customHeight="1" x14ac:dyDescent="0.3">
      <c r="A96" s="29"/>
      <c r="B96" s="15"/>
      <c r="C96" s="5" t="e">
        <f>+'Measurment 3rd floor'!#REF!</f>
        <v>#REF!</v>
      </c>
      <c r="D96" s="29"/>
      <c r="E96" s="15"/>
      <c r="F96" s="5" t="e">
        <f>+'Measurment 3rd floor'!#REF!</f>
        <v>#REF!</v>
      </c>
    </row>
    <row r="97" spans="1:6" ht="14.1" customHeight="1" x14ac:dyDescent="0.3">
      <c r="A97" s="29"/>
      <c r="B97" s="15"/>
      <c r="C97" s="5" t="e">
        <f>+'Measurment 3rd floor'!#REF!</f>
        <v>#REF!</v>
      </c>
      <c r="D97" s="29"/>
      <c r="E97" s="15"/>
      <c r="F97" s="5" t="e">
        <f>+'Measurment 3rd floor'!#REF!</f>
        <v>#REF!</v>
      </c>
    </row>
    <row r="98" spans="1:6" ht="14.1" customHeight="1" x14ac:dyDescent="0.3">
      <c r="A98" s="29"/>
      <c r="B98" s="15"/>
      <c r="C98" s="5" t="e">
        <f>+'Measurment 3rd floor'!#REF!</f>
        <v>#REF!</v>
      </c>
      <c r="D98" s="29"/>
      <c r="E98" s="15"/>
      <c r="F98" s="5" t="e">
        <f>+'Measurment 3rd floor'!#REF!</f>
        <v>#REF!</v>
      </c>
    </row>
    <row r="99" spans="1:6" ht="14.1" customHeight="1" x14ac:dyDescent="0.3">
      <c r="A99" s="29"/>
      <c r="B99" s="15"/>
      <c r="C99" s="5" t="e">
        <f>+'Measurment 3rd floor'!#REF!</f>
        <v>#REF!</v>
      </c>
      <c r="D99" s="29"/>
      <c r="E99" s="15"/>
      <c r="F99" s="5" t="e">
        <f>+'Measurment 3rd floor'!#REF!</f>
        <v>#REF!</v>
      </c>
    </row>
    <row r="100" spans="1:6" ht="14.1" customHeight="1" x14ac:dyDescent="0.3">
      <c r="A100" s="29"/>
      <c r="B100" s="15"/>
      <c r="C100" s="5" t="e">
        <f>+'Measurment 3rd floor'!#REF!</f>
        <v>#REF!</v>
      </c>
      <c r="D100" s="29"/>
      <c r="E100" s="15"/>
      <c r="F100" s="5" t="e">
        <f>+'Measurment 3rd floor'!#REF!</f>
        <v>#REF!</v>
      </c>
    </row>
    <row r="101" spans="1:6" ht="14.1" customHeight="1" x14ac:dyDescent="0.3">
      <c r="A101" s="29"/>
      <c r="B101" s="15"/>
      <c r="C101" s="5" t="e">
        <f>+'Measurment 3rd floor'!#REF!</f>
        <v>#REF!</v>
      </c>
      <c r="D101" s="29"/>
      <c r="E101" s="15"/>
      <c r="F101" s="5" t="e">
        <f>+'Measurment 3rd floor'!#REF!</f>
        <v>#REF!</v>
      </c>
    </row>
    <row r="102" spans="1:6" ht="14.1" customHeight="1" x14ac:dyDescent="0.3">
      <c r="A102" s="29"/>
      <c r="B102" s="15"/>
      <c r="C102" s="5" t="e">
        <f>+'Measurment 3rd floor'!#REF!</f>
        <v>#REF!</v>
      </c>
      <c r="D102" s="29"/>
      <c r="E102" s="15"/>
      <c r="F102" s="5" t="e">
        <f>+'Measurment 3rd floor'!#REF!</f>
        <v>#REF!</v>
      </c>
    </row>
    <row r="103" spans="1:6" ht="14.1" customHeight="1" x14ac:dyDescent="0.3">
      <c r="A103" s="29"/>
      <c r="B103" s="15"/>
      <c r="C103" s="5" t="e">
        <f>+'Measurment 3rd floor'!#REF!</f>
        <v>#REF!</v>
      </c>
      <c r="D103" s="29"/>
      <c r="E103" s="15"/>
      <c r="F103" s="5" t="e">
        <f>+'Measurment 3rd floor'!#REF!</f>
        <v>#REF!</v>
      </c>
    </row>
    <row r="104" spans="1:6" ht="14.1" customHeight="1" x14ac:dyDescent="0.3">
      <c r="A104" s="29"/>
      <c r="B104" s="15"/>
      <c r="C104" s="5" t="e">
        <f>+'Measurment 3rd floor'!#REF!</f>
        <v>#REF!</v>
      </c>
      <c r="D104" s="29"/>
      <c r="E104" s="15"/>
      <c r="F104" s="5" t="e">
        <f>+'Measurment 3rd floor'!#REF!</f>
        <v>#REF!</v>
      </c>
    </row>
    <row r="105" spans="1:6" ht="14.1" customHeight="1" x14ac:dyDescent="0.3">
      <c r="A105" s="29"/>
      <c r="B105" s="15"/>
      <c r="C105" s="5" t="e">
        <f>+'Measurment 3rd floor'!#REF!</f>
        <v>#REF!</v>
      </c>
      <c r="D105" s="29"/>
      <c r="E105" s="15"/>
      <c r="F105" s="5" t="e">
        <f>+'Measurment 3rd floor'!#REF!</f>
        <v>#REF!</v>
      </c>
    </row>
    <row r="106" spans="1:6" ht="14.1" customHeight="1" x14ac:dyDescent="0.3">
      <c r="A106" s="29"/>
      <c r="B106" s="15"/>
      <c r="C106" s="5" t="e">
        <f>+'Measurment 3rd floor'!#REF!</f>
        <v>#REF!</v>
      </c>
      <c r="D106" s="29"/>
      <c r="E106" s="15"/>
      <c r="F106" s="5" t="e">
        <f>+'Measurment 3rd floor'!#REF!</f>
        <v>#REF!</v>
      </c>
    </row>
    <row r="107" spans="1:6" ht="14.1" customHeight="1" x14ac:dyDescent="0.3">
      <c r="A107" s="29"/>
      <c r="B107" s="15"/>
      <c r="C107" s="5" t="e">
        <f>+'Measurment 3rd floor'!#REF!</f>
        <v>#REF!</v>
      </c>
      <c r="D107" s="29"/>
      <c r="E107" s="15"/>
      <c r="F107" s="5" t="e">
        <f>+'Measurment 3rd floor'!#REF!</f>
        <v>#REF!</v>
      </c>
    </row>
    <row r="108" spans="1:6" ht="14.1" customHeight="1" x14ac:dyDescent="0.3">
      <c r="A108" s="29"/>
      <c r="B108" s="15"/>
      <c r="C108" s="5" t="e">
        <f>+'Measurment 3rd floor'!#REF!</f>
        <v>#REF!</v>
      </c>
      <c r="D108" s="29"/>
      <c r="E108" s="15"/>
      <c r="F108" s="5" t="e">
        <f>+'Measurment 3rd floor'!#REF!</f>
        <v>#REF!</v>
      </c>
    </row>
    <row r="109" spans="1:6" ht="14.1" customHeight="1" x14ac:dyDescent="0.3">
      <c r="A109" s="29"/>
      <c r="B109" s="15"/>
      <c r="C109" s="5" t="e">
        <f>+'Measurment 3rd floor'!#REF!</f>
        <v>#REF!</v>
      </c>
      <c r="D109" s="29"/>
      <c r="E109" s="15"/>
      <c r="F109" s="5" t="e">
        <f>+'Measurment 3rd floor'!#REF!</f>
        <v>#REF!</v>
      </c>
    </row>
    <row r="110" spans="1:6" ht="14.1" customHeight="1" x14ac:dyDescent="0.3">
      <c r="A110" s="29"/>
      <c r="B110" s="16" t="s">
        <v>60</v>
      </c>
      <c r="C110" s="2" t="e">
        <f>SUM(C82:C109)</f>
        <v>#REF!</v>
      </c>
      <c r="D110" s="25"/>
      <c r="E110" s="16" t="s">
        <v>60</v>
      </c>
      <c r="F110" s="2" t="e">
        <f>SUM(F56:F109)</f>
        <v>#REF!</v>
      </c>
    </row>
    <row r="111" spans="1:6" ht="14.1" customHeight="1" x14ac:dyDescent="0.3">
      <c r="A111" s="29"/>
      <c r="B111" s="18" t="s">
        <v>63</v>
      </c>
      <c r="C111" s="2" t="e">
        <f>+F110</f>
        <v>#REF!</v>
      </c>
      <c r="D111" s="29">
        <f>+A136+1</f>
        <v>12</v>
      </c>
      <c r="E111" s="7" t="s">
        <v>22</v>
      </c>
      <c r="F111" s="5">
        <f>+'Measurment 3rd floor'!G124</f>
        <v>18.78</v>
      </c>
    </row>
    <row r="112" spans="1:6" ht="14.1" customHeight="1" x14ac:dyDescent="0.3">
      <c r="A112" s="29"/>
      <c r="B112" s="15"/>
      <c r="C112" s="5" t="e">
        <f>+'Measurment 3rd floor'!#REF!</f>
        <v>#REF!</v>
      </c>
      <c r="D112" s="29"/>
      <c r="E112" s="7"/>
      <c r="F112" s="5">
        <f>+'Measurment 3rd floor'!G258</f>
        <v>36</v>
      </c>
    </row>
    <row r="113" spans="1:6" ht="14.1" customHeight="1" x14ac:dyDescent="0.3">
      <c r="A113" s="29"/>
      <c r="B113" s="15"/>
      <c r="C113" s="5" t="e">
        <f>+'Measurment 3rd floor'!#REF!</f>
        <v>#REF!</v>
      </c>
      <c r="D113" s="29"/>
      <c r="E113" s="7"/>
      <c r="F113" s="5">
        <f>+'Measurment 3rd floor'!G302</f>
        <v>5.58</v>
      </c>
    </row>
    <row r="114" spans="1:6" ht="14.1" customHeight="1" x14ac:dyDescent="0.3">
      <c r="A114" s="29"/>
      <c r="B114" s="15"/>
      <c r="C114" s="5" t="e">
        <f>+'Measurment 3rd floor'!#REF!</f>
        <v>#REF!</v>
      </c>
      <c r="D114" s="29"/>
      <c r="E114" s="7"/>
      <c r="F114" s="5">
        <f>+'Measurment 3rd floor'!G327</f>
        <v>0</v>
      </c>
    </row>
    <row r="115" spans="1:6" ht="14.1" customHeight="1" x14ac:dyDescent="0.3">
      <c r="A115" s="29"/>
      <c r="B115" s="15"/>
      <c r="C115" s="5" t="e">
        <f>+'Measurment 3rd floor'!#REF!</f>
        <v>#REF!</v>
      </c>
      <c r="D115" s="29"/>
      <c r="E115" s="7"/>
      <c r="F115" s="5">
        <f>+'Measurment 3rd floor'!G575</f>
        <v>7.91</v>
      </c>
    </row>
    <row r="116" spans="1:6" ht="14.1" customHeight="1" x14ac:dyDescent="0.3">
      <c r="A116" s="29"/>
      <c r="B116" s="15"/>
      <c r="C116" s="5" t="e">
        <f>+'Measurment 3rd floor'!#REF!</f>
        <v>#REF!</v>
      </c>
      <c r="D116" s="29"/>
      <c r="E116" s="7"/>
      <c r="F116" s="5" t="e">
        <f>+'Measurment 3rd floor'!#REF!</f>
        <v>#REF!</v>
      </c>
    </row>
    <row r="117" spans="1:6" ht="14.1" customHeight="1" x14ac:dyDescent="0.3">
      <c r="A117" s="29"/>
      <c r="B117" s="15"/>
      <c r="C117" s="5" t="e">
        <f>+'Measurment 3rd floor'!#REF!</f>
        <v>#REF!</v>
      </c>
      <c r="D117" s="29"/>
      <c r="E117" s="7"/>
      <c r="F117" s="5" t="e">
        <f>+'Measurment 3rd floor'!#REF!</f>
        <v>#REF!</v>
      </c>
    </row>
    <row r="118" spans="1:6" ht="14.1" customHeight="1" x14ac:dyDescent="0.3">
      <c r="A118" s="29"/>
      <c r="B118" s="15"/>
      <c r="C118" s="5" t="e">
        <f>+'Measurment 3rd floor'!#REF!</f>
        <v>#REF!</v>
      </c>
      <c r="D118" s="29"/>
      <c r="E118" s="7"/>
      <c r="F118" s="5" t="e">
        <f>+'Measurment 3rd floor'!#REF!</f>
        <v>#REF!</v>
      </c>
    </row>
    <row r="119" spans="1:6" ht="14.1" customHeight="1" x14ac:dyDescent="0.3">
      <c r="A119" s="29"/>
      <c r="B119" s="15"/>
      <c r="C119" s="5" t="e">
        <f>+'Measurment 3rd floor'!#REF!</f>
        <v>#REF!</v>
      </c>
      <c r="D119" s="29"/>
      <c r="E119" s="7"/>
      <c r="F119" s="5" t="e">
        <f>+'Measurment 3rd floor'!#REF!</f>
        <v>#REF!</v>
      </c>
    </row>
    <row r="120" spans="1:6" ht="14.1" customHeight="1" x14ac:dyDescent="0.3">
      <c r="A120" s="29"/>
      <c r="B120" s="2" t="s">
        <v>49</v>
      </c>
      <c r="C120" s="2" t="e">
        <f>SUM(C111:C119)</f>
        <v>#REF!</v>
      </c>
      <c r="D120" s="29"/>
      <c r="E120" s="7"/>
      <c r="F120" s="5" t="e">
        <f>+'Measurment 3rd floor'!#REF!</f>
        <v>#REF!</v>
      </c>
    </row>
    <row r="121" spans="1:6" ht="14.1" customHeight="1" x14ac:dyDescent="0.3">
      <c r="A121" s="29"/>
      <c r="B121" s="15"/>
      <c r="C121" s="5"/>
      <c r="D121" s="29"/>
      <c r="E121" s="7"/>
      <c r="F121" s="5" t="e">
        <f>+'Measurment 3rd floor'!#REF!</f>
        <v>#REF!</v>
      </c>
    </row>
    <row r="122" spans="1:6" ht="14.1" customHeight="1" x14ac:dyDescent="0.3">
      <c r="A122" s="29">
        <f>+A82+1</f>
        <v>10</v>
      </c>
      <c r="B122" s="7" t="s">
        <v>17</v>
      </c>
      <c r="C122" s="5">
        <f>+'Measurment 3rd floor'!G104</f>
        <v>2.25</v>
      </c>
      <c r="D122" s="29"/>
      <c r="E122" s="7"/>
      <c r="F122" s="5" t="e">
        <f>+'Measurment 3rd floor'!#REF!</f>
        <v>#REF!</v>
      </c>
    </row>
    <row r="123" spans="1:6" ht="14.1" customHeight="1" x14ac:dyDescent="0.3">
      <c r="A123" s="29"/>
      <c r="B123" s="15"/>
      <c r="C123" s="5">
        <f>+'Measurment 3rd floor'!G554</f>
        <v>0</v>
      </c>
      <c r="D123" s="29"/>
      <c r="E123" s="7"/>
      <c r="F123" s="5" t="e">
        <f>+'Measurment 3rd floor'!#REF!</f>
        <v>#REF!</v>
      </c>
    </row>
    <row r="124" spans="1:6" ht="14.1" customHeight="1" x14ac:dyDescent="0.3">
      <c r="A124" s="29"/>
      <c r="B124" s="15"/>
      <c r="C124" s="5" t="e">
        <f>+'Measurment 3rd floor'!#REF!</f>
        <v>#REF!</v>
      </c>
      <c r="D124" s="29"/>
      <c r="E124" s="7"/>
      <c r="F124" s="5" t="e">
        <f>+'Measurment 3rd floor'!#REF!</f>
        <v>#REF!</v>
      </c>
    </row>
    <row r="125" spans="1:6" ht="14.1" customHeight="1" x14ac:dyDescent="0.3">
      <c r="A125" s="29"/>
      <c r="B125" s="15"/>
      <c r="C125" s="5" t="e">
        <f>+'Measurment 3rd floor'!#REF!</f>
        <v>#REF!</v>
      </c>
      <c r="D125" s="29"/>
      <c r="E125" s="7"/>
      <c r="F125" s="5" t="e">
        <f>+'Measurment 3rd floor'!#REF!</f>
        <v>#REF!</v>
      </c>
    </row>
    <row r="126" spans="1:6" ht="14.1" customHeight="1" x14ac:dyDescent="0.3">
      <c r="A126" s="29"/>
      <c r="B126" s="15"/>
      <c r="C126" s="5" t="e">
        <f>+'Measurment 3rd floor'!#REF!</f>
        <v>#REF!</v>
      </c>
      <c r="D126" s="29"/>
      <c r="E126" s="7"/>
      <c r="F126" s="5" t="e">
        <f>+'Measurment 3rd floor'!#REF!</f>
        <v>#REF!</v>
      </c>
    </row>
    <row r="127" spans="1:6" ht="14.1" customHeight="1" x14ac:dyDescent="0.3">
      <c r="A127" s="29"/>
      <c r="B127" s="15"/>
      <c r="C127" s="5" t="e">
        <f>+'Measurment 3rd floor'!#REF!</f>
        <v>#REF!</v>
      </c>
      <c r="D127" s="29"/>
      <c r="E127" s="7"/>
      <c r="F127" s="5" t="e">
        <f>+'Measurment 3rd floor'!#REF!</f>
        <v>#REF!</v>
      </c>
    </row>
    <row r="128" spans="1:6" ht="14.1" customHeight="1" x14ac:dyDescent="0.3">
      <c r="A128" s="29"/>
      <c r="B128" s="15"/>
      <c r="C128" s="5" t="e">
        <f>+'Measurment 3rd floor'!#REF!</f>
        <v>#REF!</v>
      </c>
      <c r="D128" s="29"/>
      <c r="E128" s="7"/>
      <c r="F128" s="5" t="e">
        <f>+'Measurment 3rd floor'!#REF!</f>
        <v>#REF!</v>
      </c>
    </row>
    <row r="129" spans="1:6" ht="14.1" customHeight="1" x14ac:dyDescent="0.3">
      <c r="A129" s="29"/>
      <c r="B129" s="15"/>
      <c r="C129" s="5" t="e">
        <f>+'Measurment 3rd floor'!#REF!</f>
        <v>#REF!</v>
      </c>
      <c r="D129" s="29"/>
      <c r="E129" s="7"/>
      <c r="F129" s="5" t="e">
        <f>+'Measurment 3rd floor'!#REF!</f>
        <v>#REF!</v>
      </c>
    </row>
    <row r="130" spans="1:6" ht="14.1" customHeight="1" x14ac:dyDescent="0.3">
      <c r="A130" s="29"/>
      <c r="B130" s="15"/>
      <c r="C130" s="5" t="e">
        <f>+'Measurment 3rd floor'!#REF!</f>
        <v>#REF!</v>
      </c>
      <c r="D130" s="29"/>
      <c r="E130" s="7"/>
      <c r="F130" s="5" t="e">
        <f>+'Measurment 3rd floor'!#REF!</f>
        <v>#REF!</v>
      </c>
    </row>
    <row r="131" spans="1:6" ht="14.1" customHeight="1" x14ac:dyDescent="0.3">
      <c r="A131" s="29"/>
      <c r="B131" s="15"/>
      <c r="C131" s="5" t="e">
        <f>+'Measurment 3rd floor'!#REF!</f>
        <v>#REF!</v>
      </c>
      <c r="D131" s="29"/>
      <c r="E131" s="7"/>
      <c r="F131" s="5" t="e">
        <f>+'Measurment 3rd floor'!#REF!</f>
        <v>#REF!</v>
      </c>
    </row>
    <row r="132" spans="1:6" ht="14.1" customHeight="1" x14ac:dyDescent="0.3">
      <c r="A132" s="29"/>
      <c r="B132" s="15"/>
      <c r="C132" s="5" t="e">
        <f>+'Measurment 3rd floor'!#REF!</f>
        <v>#REF!</v>
      </c>
      <c r="D132" s="29"/>
      <c r="E132" s="7"/>
      <c r="F132" s="5" t="e">
        <f>+'Measurment 3rd floor'!#REF!</f>
        <v>#REF!</v>
      </c>
    </row>
    <row r="133" spans="1:6" ht="14.1" customHeight="1" x14ac:dyDescent="0.3">
      <c r="A133" s="29"/>
      <c r="B133" s="15"/>
      <c r="C133" s="5" t="e">
        <f>+'Measurment 3rd floor'!#REF!</f>
        <v>#REF!</v>
      </c>
      <c r="D133" s="29"/>
      <c r="E133" s="7"/>
      <c r="F133" s="5" t="e">
        <f>+'Measurment 3rd floor'!#REF!</f>
        <v>#REF!</v>
      </c>
    </row>
    <row r="134" spans="1:6" ht="14.1" customHeight="1" x14ac:dyDescent="0.3">
      <c r="A134" s="29"/>
      <c r="B134" s="2" t="s">
        <v>49</v>
      </c>
      <c r="C134" s="2" t="e">
        <f>SUM(C122:C133)</f>
        <v>#REF!</v>
      </c>
      <c r="D134" s="29"/>
      <c r="E134" s="7"/>
      <c r="F134" s="5" t="e">
        <f>+'Measurment 3rd floor'!#REF!</f>
        <v>#REF!</v>
      </c>
    </row>
    <row r="135" spans="1:6" ht="14.1" customHeight="1" x14ac:dyDescent="0.3">
      <c r="A135" s="29"/>
      <c r="B135" s="15"/>
      <c r="C135" s="5"/>
      <c r="D135" s="29"/>
      <c r="E135" s="7"/>
      <c r="F135" s="5" t="e">
        <f>+'Measurment 3rd floor'!#REF!</f>
        <v>#REF!</v>
      </c>
    </row>
    <row r="136" spans="1:6" ht="14.1" customHeight="1" x14ac:dyDescent="0.3">
      <c r="A136" s="29">
        <f>+A122+1</f>
        <v>11</v>
      </c>
      <c r="B136" s="7" t="s">
        <v>18</v>
      </c>
      <c r="C136" s="5">
        <f>+'Measurment 3rd floor'!G106</f>
        <v>23.08</v>
      </c>
      <c r="D136" s="29"/>
      <c r="E136" s="7"/>
      <c r="F136" s="5" t="e">
        <f>+'Measurment 3rd floor'!#REF!</f>
        <v>#REF!</v>
      </c>
    </row>
    <row r="137" spans="1:6" ht="14.1" customHeight="1" x14ac:dyDescent="0.3">
      <c r="A137" s="29"/>
      <c r="B137" s="15"/>
      <c r="C137" s="5">
        <f>+'Measurment 3rd floor'!G557</f>
        <v>9.66</v>
      </c>
      <c r="D137" s="29"/>
      <c r="E137" s="7"/>
      <c r="F137" s="5" t="e">
        <f>+'Measurment 3rd floor'!#REF!</f>
        <v>#REF!</v>
      </c>
    </row>
    <row r="138" spans="1:6" ht="14.1" customHeight="1" x14ac:dyDescent="0.3">
      <c r="A138" s="29"/>
      <c r="B138" s="15"/>
      <c r="C138" s="5" t="e">
        <f>+'Measurment 3rd floor'!#REF!</f>
        <v>#REF!</v>
      </c>
      <c r="D138" s="29"/>
      <c r="E138" s="7"/>
      <c r="F138" s="5" t="e">
        <f>+'Measurment 3rd floor'!#REF!</f>
        <v>#REF!</v>
      </c>
    </row>
    <row r="139" spans="1:6" ht="14.1" customHeight="1" x14ac:dyDescent="0.3">
      <c r="A139" s="29"/>
      <c r="B139" s="15"/>
      <c r="C139" s="5" t="e">
        <f>+'Measurment 3rd floor'!#REF!</f>
        <v>#REF!</v>
      </c>
      <c r="D139" s="29"/>
      <c r="E139" s="7"/>
      <c r="F139" s="5" t="e">
        <f>+'Measurment 3rd floor'!#REF!</f>
        <v>#REF!</v>
      </c>
    </row>
    <row r="140" spans="1:6" ht="14.1" customHeight="1" x14ac:dyDescent="0.3">
      <c r="A140" s="29"/>
      <c r="B140" s="15"/>
      <c r="C140" s="5" t="e">
        <f>+'Measurment 3rd floor'!#REF!</f>
        <v>#REF!</v>
      </c>
      <c r="D140" s="29"/>
      <c r="E140" s="7"/>
      <c r="F140" s="5" t="e">
        <f>+'Measurment 3rd floor'!#REF!</f>
        <v>#REF!</v>
      </c>
    </row>
    <row r="141" spans="1:6" ht="14.1" customHeight="1" x14ac:dyDescent="0.3">
      <c r="A141" s="29"/>
      <c r="B141" s="15"/>
      <c r="C141" s="5" t="e">
        <f>+'Measurment 3rd floor'!#REF!</f>
        <v>#REF!</v>
      </c>
      <c r="D141" s="29"/>
      <c r="E141" s="7"/>
      <c r="F141" s="5" t="e">
        <f>+'Measurment 3rd floor'!#REF!</f>
        <v>#REF!</v>
      </c>
    </row>
    <row r="142" spans="1:6" ht="14.1" customHeight="1" x14ac:dyDescent="0.3">
      <c r="A142" s="29"/>
      <c r="B142" s="15"/>
      <c r="C142" s="5" t="e">
        <f>+'Measurment 3rd floor'!#REF!</f>
        <v>#REF!</v>
      </c>
      <c r="D142" s="29"/>
      <c r="E142" s="7"/>
      <c r="F142" s="5" t="e">
        <f>+'Measurment 3rd floor'!#REF!</f>
        <v>#REF!</v>
      </c>
    </row>
    <row r="143" spans="1:6" ht="14.1" customHeight="1" x14ac:dyDescent="0.3">
      <c r="A143" s="29"/>
      <c r="B143" s="15"/>
      <c r="C143" s="5" t="e">
        <f>+'Measurment 3rd floor'!#REF!</f>
        <v>#REF!</v>
      </c>
      <c r="D143" s="29"/>
      <c r="E143" s="7"/>
      <c r="F143" s="5" t="e">
        <f>+'Measurment 3rd floor'!#REF!</f>
        <v>#REF!</v>
      </c>
    </row>
    <row r="144" spans="1:6" ht="14.1" customHeight="1" x14ac:dyDescent="0.3">
      <c r="A144" s="29"/>
      <c r="B144" s="15"/>
      <c r="C144" s="5" t="e">
        <f>+'Measurment 3rd floor'!#REF!</f>
        <v>#REF!</v>
      </c>
      <c r="D144" s="29"/>
      <c r="E144" s="7"/>
      <c r="F144" s="5" t="e">
        <f>+'Measurment 3rd floor'!#REF!</f>
        <v>#REF!</v>
      </c>
    </row>
    <row r="145" spans="1:10" ht="14.1" customHeight="1" x14ac:dyDescent="0.3">
      <c r="A145" s="29"/>
      <c r="B145" s="15"/>
      <c r="C145" s="5" t="e">
        <f>+'Measurment 3rd floor'!#REF!</f>
        <v>#REF!</v>
      </c>
      <c r="D145" s="29"/>
      <c r="E145" s="7"/>
      <c r="F145" s="5" t="e">
        <f>+'Measurment 3rd floor'!#REF!</f>
        <v>#REF!</v>
      </c>
    </row>
    <row r="146" spans="1:10" ht="14.1" customHeight="1" x14ac:dyDescent="0.3">
      <c r="A146" s="29"/>
      <c r="B146" s="15"/>
      <c r="C146" s="5" t="e">
        <f>+'Measurment 3rd floor'!#REF!</f>
        <v>#REF!</v>
      </c>
      <c r="D146" s="29"/>
      <c r="E146" s="7"/>
      <c r="F146" s="5" t="e">
        <f>+'Measurment 3rd floor'!#REF!</f>
        <v>#REF!</v>
      </c>
    </row>
    <row r="147" spans="1:10" ht="14.1" customHeight="1" x14ac:dyDescent="0.3">
      <c r="A147" s="29"/>
      <c r="B147" s="15"/>
      <c r="C147" s="5" t="e">
        <f>+'Measurment 3rd floor'!#REF!</f>
        <v>#REF!</v>
      </c>
      <c r="D147" s="29"/>
      <c r="E147" s="7"/>
      <c r="F147" s="5" t="e">
        <f>+'Measurment 3rd floor'!#REF!</f>
        <v>#REF!</v>
      </c>
    </row>
    <row r="148" spans="1:10" ht="14.1" customHeight="1" x14ac:dyDescent="0.3">
      <c r="A148" s="29"/>
      <c r="B148" s="2" t="s">
        <v>49</v>
      </c>
      <c r="C148" s="2" t="e">
        <f>SUM(C136:C147)</f>
        <v>#REF!</v>
      </c>
      <c r="D148" s="29"/>
      <c r="E148" s="7"/>
      <c r="F148" s="5" t="e">
        <f>+'Measurment 3rd floor'!#REF!</f>
        <v>#REF!</v>
      </c>
    </row>
    <row r="149" spans="1:10" ht="14.1" customHeight="1" x14ac:dyDescent="0.3">
      <c r="A149" s="29"/>
      <c r="B149" s="15"/>
      <c r="C149" s="5"/>
      <c r="D149" s="29"/>
      <c r="E149" s="7"/>
      <c r="F149" s="5" t="e">
        <f>+'Measurment 3rd floor'!#REF!</f>
        <v>#REF!</v>
      </c>
    </row>
    <row r="150" spans="1:10" ht="14.1" customHeight="1" x14ac:dyDescent="0.3">
      <c r="A150" s="29"/>
      <c r="B150" s="15"/>
      <c r="C150" s="5"/>
      <c r="D150" s="29"/>
      <c r="E150" s="7"/>
      <c r="F150" s="5" t="e">
        <f>+'Measurment 3rd floor'!#REF!</f>
        <v>#REF!</v>
      </c>
    </row>
    <row r="151" spans="1:10" ht="14.1" customHeight="1" x14ac:dyDescent="0.3">
      <c r="A151" s="29"/>
      <c r="B151" s="15"/>
      <c r="C151" s="5"/>
      <c r="D151" s="29"/>
      <c r="E151" s="7"/>
      <c r="F151" s="5" t="e">
        <f>+'Measurment 3rd floor'!#REF!</f>
        <v>#REF!</v>
      </c>
    </row>
    <row r="152" spans="1:10" ht="14.1" customHeight="1" x14ac:dyDescent="0.3">
      <c r="A152" s="29"/>
      <c r="B152" s="15"/>
      <c r="C152" s="5"/>
      <c r="D152" s="29"/>
      <c r="E152" s="7"/>
      <c r="F152" s="5" t="e">
        <f>+'Measurment 3rd floor'!#REF!</f>
        <v>#REF!</v>
      </c>
      <c r="J152">
        <v>2665.18</v>
      </c>
    </row>
    <row r="153" spans="1:10" ht="14.1" customHeight="1" x14ac:dyDescent="0.3">
      <c r="A153" s="29"/>
      <c r="B153" s="15"/>
      <c r="C153" s="5"/>
      <c r="D153" s="29"/>
      <c r="E153" s="7"/>
      <c r="F153" s="5" t="e">
        <f>+'Measurment 3rd floor'!#REF!</f>
        <v>#REF!</v>
      </c>
    </row>
    <row r="154" spans="1:10" ht="14.1" customHeight="1" x14ac:dyDescent="0.3">
      <c r="A154" s="29"/>
      <c r="B154" s="15"/>
      <c r="C154" s="5"/>
      <c r="D154" s="29"/>
      <c r="E154" s="7"/>
      <c r="F154" s="5" t="e">
        <f>+'Measurment 3rd floor'!#REF!</f>
        <v>#REF!</v>
      </c>
    </row>
    <row r="155" spans="1:10" ht="14.1" customHeight="1" x14ac:dyDescent="0.3">
      <c r="A155" s="29"/>
      <c r="B155" s="15"/>
      <c r="C155" s="5"/>
      <c r="D155" s="29"/>
      <c r="E155" s="15"/>
      <c r="F155" s="5" t="e">
        <f>+'Measurment 3rd floor'!#REF!</f>
        <v>#REF!</v>
      </c>
    </row>
    <row r="156" spans="1:10" ht="14.1" customHeight="1" x14ac:dyDescent="0.3">
      <c r="A156" s="29"/>
      <c r="B156" s="15"/>
      <c r="C156" s="5"/>
      <c r="D156" s="29"/>
      <c r="E156" s="15"/>
      <c r="F156" s="5" t="e">
        <f>+'Measurment 3rd floor'!#REF!</f>
        <v>#REF!</v>
      </c>
    </row>
    <row r="157" spans="1:10" ht="14.1" customHeight="1" x14ac:dyDescent="0.3">
      <c r="A157" s="29"/>
      <c r="B157" s="15"/>
      <c r="C157" s="5"/>
      <c r="D157" s="29"/>
      <c r="E157" s="15"/>
      <c r="F157" s="5" t="e">
        <f>+'Measurment 3rd floor'!#REF!</f>
        <v>#REF!</v>
      </c>
    </row>
    <row r="158" spans="1:10" ht="14.1" customHeight="1" x14ac:dyDescent="0.3">
      <c r="A158" s="29"/>
      <c r="B158" s="15"/>
      <c r="C158" s="5"/>
      <c r="D158" s="29"/>
      <c r="E158" s="2" t="s">
        <v>49</v>
      </c>
      <c r="F158" s="2" t="e">
        <f>SUM(F111:F157)</f>
        <v>#REF!</v>
      </c>
    </row>
    <row r="159" spans="1:10" ht="14.1" customHeight="1" x14ac:dyDescent="0.3">
      <c r="A159" s="29"/>
      <c r="B159" s="15"/>
      <c r="C159" s="5"/>
      <c r="D159" s="29"/>
      <c r="E159" s="15"/>
      <c r="F159" s="5"/>
    </row>
    <row r="160" spans="1:10" ht="14.1" customHeight="1" x14ac:dyDescent="0.3">
      <c r="A160" s="29"/>
      <c r="B160" s="15"/>
      <c r="C160" s="5"/>
      <c r="D160" s="29"/>
      <c r="E160" s="15"/>
      <c r="F160" s="5"/>
    </row>
    <row r="161" spans="1:6" ht="14.1" customHeight="1" x14ac:dyDescent="0.3">
      <c r="A161" s="29"/>
      <c r="B161" s="15"/>
      <c r="C161" s="5"/>
      <c r="D161" s="29"/>
      <c r="E161" s="15"/>
      <c r="F161" s="5"/>
    </row>
    <row r="162" spans="1:6" ht="14.1" customHeight="1" x14ac:dyDescent="0.3">
      <c r="A162" s="29"/>
      <c r="B162" s="15"/>
      <c r="C162" s="5"/>
      <c r="D162" s="29"/>
      <c r="E162" s="15"/>
      <c r="F162" s="5"/>
    </row>
    <row r="163" spans="1:6" ht="14.1" customHeight="1" x14ac:dyDescent="0.3">
      <c r="A163" s="29"/>
      <c r="B163" s="29"/>
      <c r="C163" s="5"/>
      <c r="D163" s="29"/>
      <c r="E163" s="15"/>
      <c r="F163" s="5"/>
    </row>
    <row r="164" spans="1:6" ht="14.1" customHeight="1" x14ac:dyDescent="0.3">
      <c r="A164" s="29"/>
      <c r="B164" s="15"/>
      <c r="C164" s="5"/>
      <c r="D164" s="29"/>
      <c r="E164" s="15"/>
      <c r="F164" s="5"/>
    </row>
    <row r="165" spans="1:6" ht="14.1" customHeight="1" x14ac:dyDescent="0.3">
      <c r="A165" s="29"/>
      <c r="B165" s="15"/>
      <c r="C165" s="5"/>
      <c r="D165" s="29"/>
      <c r="E165" s="15"/>
      <c r="F165" s="5"/>
    </row>
    <row r="166" spans="1:6" ht="14.1" customHeight="1" x14ac:dyDescent="0.3">
      <c r="A166" s="29">
        <f>+D111+1</f>
        <v>13</v>
      </c>
      <c r="B166" s="7" t="s">
        <v>23</v>
      </c>
      <c r="C166" s="5">
        <f>+'Measurment 3rd floor'!G127</f>
        <v>105.4</v>
      </c>
      <c r="D166" s="29">
        <f>+A166+1</f>
        <v>14</v>
      </c>
      <c r="E166" s="7" t="s">
        <v>26</v>
      </c>
      <c r="F166" s="5">
        <f>+'Measurment 3rd floor'!G161</f>
        <v>0</v>
      </c>
    </row>
    <row r="167" spans="1:6" ht="14.1" customHeight="1" x14ac:dyDescent="0.3">
      <c r="A167" s="29"/>
      <c r="B167" s="15"/>
      <c r="C167" s="5">
        <f>+'Measurment 3rd floor'!G261</f>
        <v>36</v>
      </c>
      <c r="D167" s="29"/>
      <c r="E167" s="15"/>
      <c r="F167" s="5">
        <f>+'Measurment 3rd floor'!G275</f>
        <v>0</v>
      </c>
    </row>
    <row r="168" spans="1:6" ht="14.1" customHeight="1" x14ac:dyDescent="0.3">
      <c r="A168" s="29"/>
      <c r="B168" s="15"/>
      <c r="C168" s="5">
        <f>+'Measurment 3rd floor'!G306</f>
        <v>0</v>
      </c>
      <c r="D168" s="29"/>
      <c r="E168" s="15"/>
      <c r="F168" s="5" t="e">
        <f>+'Measurment 3rd floor'!#REF!</f>
        <v>#REF!</v>
      </c>
    </row>
    <row r="169" spans="1:6" ht="14.1" customHeight="1" x14ac:dyDescent="0.3">
      <c r="A169" s="29"/>
      <c r="B169" s="15"/>
      <c r="C169" s="5">
        <f>+'Measurment 3rd floor'!G338</f>
        <v>45.82</v>
      </c>
      <c r="D169" s="29"/>
      <c r="E169" s="15"/>
      <c r="F169" s="5" t="e">
        <f>+'Measurment 3rd floor'!#REF!</f>
        <v>#REF!</v>
      </c>
    </row>
    <row r="170" spans="1:6" ht="14.1" customHeight="1" x14ac:dyDescent="0.3">
      <c r="A170" s="29"/>
      <c r="B170" s="15"/>
      <c r="C170" s="5">
        <f>+'Measurment 3rd floor'!G578</f>
        <v>16.197500000000002</v>
      </c>
      <c r="D170" s="29"/>
      <c r="E170" s="15"/>
      <c r="F170" s="5" t="e">
        <f>+'Measurment 3rd floor'!#REF!</f>
        <v>#REF!</v>
      </c>
    </row>
    <row r="171" spans="1:6" ht="14.1" customHeight="1" x14ac:dyDescent="0.3">
      <c r="A171" s="29"/>
      <c r="B171" s="15"/>
      <c r="C171" s="5" t="e">
        <f>+'Measurment 3rd floor'!#REF!</f>
        <v>#REF!</v>
      </c>
      <c r="D171" s="29"/>
      <c r="E171" s="15"/>
      <c r="F171" s="5" t="e">
        <f>+'Measurment 3rd floor'!#REF!</f>
        <v>#REF!</v>
      </c>
    </row>
    <row r="172" spans="1:6" ht="14.1" customHeight="1" x14ac:dyDescent="0.3">
      <c r="A172" s="29"/>
      <c r="B172" s="15"/>
      <c r="C172" s="5" t="e">
        <f>+'Measurment 3rd floor'!#REF!</f>
        <v>#REF!</v>
      </c>
      <c r="D172" s="29"/>
      <c r="E172" s="15"/>
      <c r="F172" s="5" t="e">
        <f>+'Measurment 3rd floor'!#REF!</f>
        <v>#REF!</v>
      </c>
    </row>
    <row r="173" spans="1:6" ht="14.1" customHeight="1" x14ac:dyDescent="0.3">
      <c r="A173" s="29"/>
      <c r="B173" s="15"/>
      <c r="C173" s="5" t="e">
        <f>+'Measurment 3rd floor'!#REF!</f>
        <v>#REF!</v>
      </c>
      <c r="D173" s="29"/>
      <c r="E173" s="15"/>
      <c r="F173" s="5" t="e">
        <f>+'Measurment 3rd floor'!#REF!</f>
        <v>#REF!</v>
      </c>
    </row>
    <row r="174" spans="1:6" ht="14.1" customHeight="1" x14ac:dyDescent="0.3">
      <c r="A174" s="29"/>
      <c r="B174" s="15"/>
      <c r="C174" s="5" t="e">
        <f>+'Measurment 3rd floor'!#REF!</f>
        <v>#REF!</v>
      </c>
      <c r="D174" s="29"/>
      <c r="E174" s="15"/>
      <c r="F174" s="5" t="e">
        <f>+'Measurment 3rd floor'!#REF!</f>
        <v>#REF!</v>
      </c>
    </row>
    <row r="175" spans="1:6" ht="14.1" customHeight="1" x14ac:dyDescent="0.3">
      <c r="A175" s="29"/>
      <c r="B175" s="15"/>
      <c r="C175" s="5" t="e">
        <f>+'Measurment 3rd floor'!#REF!</f>
        <v>#REF!</v>
      </c>
      <c r="D175" s="29"/>
      <c r="E175" s="15"/>
      <c r="F175" s="5" t="e">
        <f>+'Measurment 3rd floor'!#REF!</f>
        <v>#REF!</v>
      </c>
    </row>
    <row r="176" spans="1:6" ht="14.1" customHeight="1" x14ac:dyDescent="0.3">
      <c r="A176" s="29"/>
      <c r="B176" s="15"/>
      <c r="C176" s="5" t="e">
        <f>+'Measurment 3rd floor'!#REF!</f>
        <v>#REF!</v>
      </c>
      <c r="D176" s="29"/>
      <c r="E176" s="15"/>
      <c r="F176" s="5" t="e">
        <f>+'Measurment 3rd floor'!#REF!</f>
        <v>#REF!</v>
      </c>
    </row>
    <row r="177" spans="1:6" ht="14.1" customHeight="1" x14ac:dyDescent="0.3">
      <c r="A177" s="29"/>
      <c r="B177" s="15"/>
      <c r="C177" s="5" t="e">
        <f>+'Measurment 3rd floor'!#REF!</f>
        <v>#REF!</v>
      </c>
      <c r="D177" s="29"/>
      <c r="E177" s="15"/>
      <c r="F177" s="5" t="e">
        <f>+'Measurment 3rd floor'!#REF!</f>
        <v>#REF!</v>
      </c>
    </row>
    <row r="178" spans="1:6" ht="14.1" customHeight="1" x14ac:dyDescent="0.3">
      <c r="A178" s="29"/>
      <c r="B178" s="15"/>
      <c r="C178" s="5" t="e">
        <f>+'Measurment 3rd floor'!#REF!</f>
        <v>#REF!</v>
      </c>
      <c r="D178" s="29"/>
      <c r="E178" s="15"/>
      <c r="F178" s="5" t="e">
        <f>+'Measurment 3rd floor'!#REF!</f>
        <v>#REF!</v>
      </c>
    </row>
    <row r="179" spans="1:6" ht="14.1" customHeight="1" x14ac:dyDescent="0.3">
      <c r="A179" s="29"/>
      <c r="B179" s="15"/>
      <c r="C179" s="5" t="e">
        <f>+'Measurment 3rd floor'!#REF!</f>
        <v>#REF!</v>
      </c>
      <c r="D179" s="29"/>
      <c r="E179" s="15"/>
      <c r="F179" s="5" t="e">
        <f>+'Measurment 3rd floor'!#REF!</f>
        <v>#REF!</v>
      </c>
    </row>
    <row r="180" spans="1:6" ht="14.1" customHeight="1" x14ac:dyDescent="0.3">
      <c r="A180" s="29"/>
      <c r="B180" s="15"/>
      <c r="C180" s="5" t="e">
        <f>+'Measurment 3rd floor'!#REF!</f>
        <v>#REF!</v>
      </c>
      <c r="D180" s="29"/>
      <c r="E180" s="15"/>
      <c r="F180" s="5" t="e">
        <f>+'Measurment 3rd floor'!#REF!</f>
        <v>#REF!</v>
      </c>
    </row>
    <row r="181" spans="1:6" ht="14.1" customHeight="1" x14ac:dyDescent="0.3">
      <c r="A181" s="29"/>
      <c r="B181" s="15"/>
      <c r="C181" s="5" t="e">
        <f>+'Measurment 3rd floor'!#REF!</f>
        <v>#REF!</v>
      </c>
      <c r="D181" s="29"/>
      <c r="E181" s="15"/>
      <c r="F181" s="5" t="e">
        <f>+'Measurment 3rd floor'!#REF!</f>
        <v>#REF!</v>
      </c>
    </row>
    <row r="182" spans="1:6" ht="14.1" customHeight="1" x14ac:dyDescent="0.3">
      <c r="A182" s="29"/>
      <c r="B182" s="15"/>
      <c r="C182" s="5" t="e">
        <f>+'Measurment 3rd floor'!#REF!</f>
        <v>#REF!</v>
      </c>
      <c r="D182" s="29"/>
      <c r="E182" s="15"/>
      <c r="F182" s="5" t="e">
        <f>+'Measurment 3rd floor'!#REF!</f>
        <v>#REF!</v>
      </c>
    </row>
    <row r="183" spans="1:6" ht="14.1" customHeight="1" x14ac:dyDescent="0.3">
      <c r="A183" s="29"/>
      <c r="B183" s="15"/>
      <c r="C183" s="5" t="e">
        <f>+'Measurment 3rd floor'!#REF!</f>
        <v>#REF!</v>
      </c>
      <c r="D183" s="29"/>
      <c r="E183" s="15"/>
      <c r="F183" s="5" t="e">
        <f>+'Measurment 3rd floor'!#REF!</f>
        <v>#REF!</v>
      </c>
    </row>
    <row r="184" spans="1:6" ht="14.1" customHeight="1" x14ac:dyDescent="0.3">
      <c r="A184" s="29"/>
      <c r="B184" s="15"/>
      <c r="C184" s="5" t="e">
        <f>+'Measurment 3rd floor'!#REF!</f>
        <v>#REF!</v>
      </c>
      <c r="D184" s="29"/>
      <c r="E184" s="15"/>
      <c r="F184" s="5" t="e">
        <f>+'Measurment 3rd floor'!#REF!</f>
        <v>#REF!</v>
      </c>
    </row>
    <row r="185" spans="1:6" ht="14.1" customHeight="1" x14ac:dyDescent="0.3">
      <c r="A185" s="29"/>
      <c r="B185" s="15"/>
      <c r="C185" s="5" t="e">
        <f>+'Measurment 3rd floor'!#REF!</f>
        <v>#REF!</v>
      </c>
      <c r="D185" s="29"/>
      <c r="E185" s="15"/>
      <c r="F185" s="5" t="e">
        <f>+'Measurment 3rd floor'!#REF!</f>
        <v>#REF!</v>
      </c>
    </row>
    <row r="186" spans="1:6" ht="14.1" customHeight="1" x14ac:dyDescent="0.3">
      <c r="A186" s="29"/>
      <c r="B186" s="15"/>
      <c r="C186" s="5" t="e">
        <f>+'Measurment 3rd floor'!#REF!</f>
        <v>#REF!</v>
      </c>
      <c r="D186" s="29"/>
      <c r="E186" s="15"/>
      <c r="F186" s="5" t="e">
        <f>+'Measurment 3rd floor'!#REF!</f>
        <v>#REF!</v>
      </c>
    </row>
    <row r="187" spans="1:6" ht="14.1" customHeight="1" x14ac:dyDescent="0.3">
      <c r="A187" s="29"/>
      <c r="B187" s="15"/>
      <c r="C187" s="5" t="e">
        <f>+'Measurment 3rd floor'!#REF!</f>
        <v>#REF!</v>
      </c>
      <c r="D187" s="29"/>
      <c r="E187" s="15"/>
      <c r="F187" s="5" t="e">
        <f>+'Measurment 3rd floor'!#REF!</f>
        <v>#REF!</v>
      </c>
    </row>
    <row r="188" spans="1:6" ht="14.1" customHeight="1" x14ac:dyDescent="0.3">
      <c r="A188" s="29"/>
      <c r="B188" s="15"/>
      <c r="C188" s="5" t="e">
        <f>+'Measurment 3rd floor'!#REF!</f>
        <v>#REF!</v>
      </c>
      <c r="D188" s="29"/>
      <c r="E188" s="2" t="s">
        <v>49</v>
      </c>
      <c r="F188" s="2" t="e">
        <f>SUM(F166:F187)</f>
        <v>#REF!</v>
      </c>
    </row>
    <row r="189" spans="1:6" ht="14.1" customHeight="1" x14ac:dyDescent="0.3">
      <c r="A189" s="29"/>
      <c r="B189" s="15"/>
      <c r="C189" s="5" t="e">
        <f>+'Measurment 3rd floor'!#REF!</f>
        <v>#REF!</v>
      </c>
      <c r="D189" s="29"/>
      <c r="E189" s="15"/>
      <c r="F189" s="5"/>
    </row>
    <row r="190" spans="1:6" ht="14.1" customHeight="1" x14ac:dyDescent="0.3">
      <c r="A190" s="29"/>
      <c r="B190" s="15"/>
      <c r="C190" s="5" t="e">
        <f>+'Measurment 3rd floor'!#REF!</f>
        <v>#REF!</v>
      </c>
      <c r="D190" s="29">
        <f>+D166+1</f>
        <v>15</v>
      </c>
      <c r="E190" s="7" t="s">
        <v>27</v>
      </c>
      <c r="F190" s="5" t="e">
        <f>+'Measurment 3rd floor'!#REF!</f>
        <v>#REF!</v>
      </c>
    </row>
    <row r="191" spans="1:6" ht="14.1" customHeight="1" x14ac:dyDescent="0.3">
      <c r="A191" s="29"/>
      <c r="B191" s="15"/>
      <c r="C191" s="5" t="e">
        <f>+'Measurment 3rd floor'!#REF!</f>
        <v>#REF!</v>
      </c>
      <c r="D191" s="29"/>
      <c r="E191" s="15"/>
      <c r="F191" s="5">
        <f>+'Measurment 3rd floor'!G284</f>
        <v>0</v>
      </c>
    </row>
    <row r="192" spans="1:6" ht="14.1" customHeight="1" x14ac:dyDescent="0.3">
      <c r="A192" s="29"/>
      <c r="B192" s="15"/>
      <c r="C192" s="5" t="e">
        <f>+'Measurment 3rd floor'!#REF!</f>
        <v>#REF!</v>
      </c>
      <c r="D192" s="29"/>
      <c r="E192" s="15"/>
      <c r="F192" s="5" t="e">
        <f>+'Measurment 3rd floor'!#REF!</f>
        <v>#REF!</v>
      </c>
    </row>
    <row r="193" spans="1:6" ht="14.1" customHeight="1" x14ac:dyDescent="0.3">
      <c r="A193" s="29"/>
      <c r="B193" s="15"/>
      <c r="C193" s="5" t="e">
        <f>+'Measurment 3rd floor'!#REF!</f>
        <v>#REF!</v>
      </c>
      <c r="D193" s="29"/>
      <c r="E193" s="15"/>
      <c r="F193" s="5" t="e">
        <f>+'Measurment 3rd floor'!#REF!</f>
        <v>#REF!</v>
      </c>
    </row>
    <row r="194" spans="1:6" ht="14.1" customHeight="1" x14ac:dyDescent="0.3">
      <c r="A194" s="29"/>
      <c r="B194" s="15"/>
      <c r="C194" s="5" t="e">
        <f>+'Measurment 3rd floor'!#REF!</f>
        <v>#REF!</v>
      </c>
      <c r="D194" s="29"/>
      <c r="E194" s="15"/>
      <c r="F194" s="5" t="e">
        <f>+'Measurment 3rd floor'!#REF!</f>
        <v>#REF!</v>
      </c>
    </row>
    <row r="195" spans="1:6" ht="14.1" customHeight="1" x14ac:dyDescent="0.3">
      <c r="A195" s="29"/>
      <c r="B195" s="15"/>
      <c r="C195" s="5" t="e">
        <f>+'Measurment 3rd floor'!#REF!</f>
        <v>#REF!</v>
      </c>
      <c r="D195" s="29"/>
      <c r="E195" s="15"/>
      <c r="F195" s="5" t="e">
        <f>+'Measurment 3rd floor'!#REF!</f>
        <v>#REF!</v>
      </c>
    </row>
    <row r="196" spans="1:6" ht="14.1" customHeight="1" x14ac:dyDescent="0.3">
      <c r="A196" s="29"/>
      <c r="B196" s="15"/>
      <c r="C196" s="5" t="e">
        <f>+'Measurment 3rd floor'!#REF!</f>
        <v>#REF!</v>
      </c>
      <c r="D196" s="29"/>
      <c r="E196" s="15"/>
      <c r="F196" s="5" t="e">
        <f>+'Measurment 3rd floor'!#REF!</f>
        <v>#REF!</v>
      </c>
    </row>
    <row r="197" spans="1:6" ht="14.1" customHeight="1" x14ac:dyDescent="0.3">
      <c r="A197" s="29"/>
      <c r="B197" s="15"/>
      <c r="C197" s="5" t="e">
        <f>+'Measurment 3rd floor'!#REF!</f>
        <v>#REF!</v>
      </c>
      <c r="D197" s="29"/>
      <c r="E197" s="15"/>
      <c r="F197" s="5" t="e">
        <f>+'Measurment 3rd floor'!#REF!</f>
        <v>#REF!</v>
      </c>
    </row>
    <row r="198" spans="1:6" ht="14.1" customHeight="1" x14ac:dyDescent="0.3">
      <c r="A198" s="29"/>
      <c r="B198" s="15"/>
      <c r="C198" s="5" t="e">
        <f>+'Measurment 3rd floor'!#REF!</f>
        <v>#REF!</v>
      </c>
      <c r="D198" s="29"/>
      <c r="E198" s="15"/>
      <c r="F198" s="5" t="e">
        <f>+'Measurment 3rd floor'!#REF!</f>
        <v>#REF!</v>
      </c>
    </row>
    <row r="199" spans="1:6" ht="14.1" customHeight="1" x14ac:dyDescent="0.3">
      <c r="A199" s="29"/>
      <c r="B199" s="15"/>
      <c r="C199" s="5" t="e">
        <f>+'Measurment 3rd floor'!#REF!</f>
        <v>#REF!</v>
      </c>
      <c r="D199" s="29"/>
      <c r="E199" s="15"/>
      <c r="F199" s="5" t="e">
        <f>+'Measurment 3rd floor'!#REF!</f>
        <v>#REF!</v>
      </c>
    </row>
    <row r="200" spans="1:6" ht="14.1" customHeight="1" x14ac:dyDescent="0.3">
      <c r="A200" s="29"/>
      <c r="B200" s="15"/>
      <c r="C200" s="5" t="e">
        <f>+'Measurment 3rd floor'!#REF!</f>
        <v>#REF!</v>
      </c>
      <c r="D200" s="29"/>
      <c r="E200" s="15"/>
      <c r="F200" s="5" t="e">
        <f>+'Measurment 3rd floor'!#REF!</f>
        <v>#REF!</v>
      </c>
    </row>
    <row r="201" spans="1:6" ht="14.1" customHeight="1" x14ac:dyDescent="0.3">
      <c r="A201" s="29"/>
      <c r="B201" s="15"/>
      <c r="C201" s="5" t="e">
        <f>+'Measurment 3rd floor'!#REF!</f>
        <v>#REF!</v>
      </c>
      <c r="D201" s="29"/>
      <c r="E201" s="15"/>
      <c r="F201" s="5" t="e">
        <f>+'Measurment 3rd floor'!#REF!</f>
        <v>#REF!</v>
      </c>
    </row>
    <row r="202" spans="1:6" ht="14.1" customHeight="1" x14ac:dyDescent="0.3">
      <c r="A202" s="29"/>
      <c r="B202" s="15"/>
      <c r="C202" s="5" t="e">
        <f>+'Measurment 3rd floor'!#REF!</f>
        <v>#REF!</v>
      </c>
      <c r="D202" s="29"/>
      <c r="E202" s="15"/>
      <c r="F202" s="5" t="e">
        <f>+'Measurment 3rd floor'!#REF!</f>
        <v>#REF!</v>
      </c>
    </row>
    <row r="203" spans="1:6" ht="14.1" customHeight="1" x14ac:dyDescent="0.3">
      <c r="A203" s="29"/>
      <c r="B203" s="15"/>
      <c r="C203" s="5" t="e">
        <f>+'Measurment 3rd floor'!#REF!</f>
        <v>#REF!</v>
      </c>
      <c r="D203" s="29"/>
      <c r="E203" s="15"/>
      <c r="F203" s="5" t="e">
        <f>+'Measurment 3rd floor'!#REF!</f>
        <v>#REF!</v>
      </c>
    </row>
    <row r="204" spans="1:6" ht="14.1" customHeight="1" x14ac:dyDescent="0.3">
      <c r="A204" s="29"/>
      <c r="B204" s="15"/>
      <c r="C204" s="5" t="e">
        <f>+'Measurment 3rd floor'!#REF!</f>
        <v>#REF!</v>
      </c>
      <c r="D204" s="29"/>
      <c r="E204" s="15"/>
      <c r="F204" s="5" t="e">
        <f>+'Measurment 3rd floor'!#REF!</f>
        <v>#REF!</v>
      </c>
    </row>
    <row r="205" spans="1:6" ht="14.1" customHeight="1" x14ac:dyDescent="0.3">
      <c r="A205" s="29"/>
      <c r="B205" s="15"/>
      <c r="C205" s="5" t="e">
        <f>+'Measurment 3rd floor'!#REF!</f>
        <v>#REF!</v>
      </c>
      <c r="D205" s="29"/>
      <c r="E205" s="15"/>
      <c r="F205" s="5" t="e">
        <f>+'Measurment 3rd floor'!#REF!</f>
        <v>#REF!</v>
      </c>
    </row>
    <row r="206" spans="1:6" ht="14.1" customHeight="1" x14ac:dyDescent="0.3">
      <c r="A206" s="29"/>
      <c r="B206" s="15"/>
      <c r="C206" s="5" t="e">
        <f>+'Measurment 3rd floor'!#REF!</f>
        <v>#REF!</v>
      </c>
      <c r="D206" s="29"/>
      <c r="E206" s="15"/>
      <c r="F206" s="5" t="e">
        <f>+'Measurment 3rd floor'!#REF!</f>
        <v>#REF!</v>
      </c>
    </row>
    <row r="207" spans="1:6" ht="14.1" customHeight="1" x14ac:dyDescent="0.3">
      <c r="A207" s="29"/>
      <c r="B207" s="15"/>
      <c r="C207" s="5" t="e">
        <f>+'Measurment 3rd floor'!#REF!</f>
        <v>#REF!</v>
      </c>
      <c r="D207" s="29"/>
      <c r="E207" s="15"/>
      <c r="F207" s="5" t="e">
        <f>+'Measurment 3rd floor'!#REF!</f>
        <v>#REF!</v>
      </c>
    </row>
    <row r="208" spans="1:6" ht="14.1" customHeight="1" x14ac:dyDescent="0.3">
      <c r="A208" s="29"/>
      <c r="B208" s="15"/>
      <c r="C208" s="5" t="e">
        <f>+'Measurment 3rd floor'!#REF!</f>
        <v>#REF!</v>
      </c>
      <c r="D208" s="29"/>
      <c r="E208" s="15"/>
      <c r="F208" s="5" t="e">
        <f>+'Measurment 3rd floor'!#REF!</f>
        <v>#REF!</v>
      </c>
    </row>
    <row r="209" spans="1:6" ht="14.1" customHeight="1" x14ac:dyDescent="0.3">
      <c r="A209" s="29"/>
      <c r="B209" s="15"/>
      <c r="C209" s="5" t="e">
        <f>+'Measurment 3rd floor'!#REF!</f>
        <v>#REF!</v>
      </c>
      <c r="D209" s="29"/>
      <c r="E209" s="15"/>
      <c r="F209" s="5" t="e">
        <f>+'Measurment 3rd floor'!#REF!</f>
        <v>#REF!</v>
      </c>
    </row>
    <row r="210" spans="1:6" ht="14.1" customHeight="1" x14ac:dyDescent="0.3">
      <c r="A210" s="29"/>
      <c r="B210" s="15"/>
      <c r="C210" s="5" t="e">
        <f>+'Measurment 3rd floor'!#REF!</f>
        <v>#REF!</v>
      </c>
      <c r="D210" s="29"/>
      <c r="E210" s="15"/>
      <c r="F210" s="5" t="e">
        <f>+'Measurment 3rd floor'!#REF!</f>
        <v>#REF!</v>
      </c>
    </row>
    <row r="211" spans="1:6" ht="14.1" customHeight="1" x14ac:dyDescent="0.3">
      <c r="A211" s="29"/>
      <c r="B211" s="15"/>
      <c r="C211" s="5" t="e">
        <f>+'Measurment 3rd floor'!#REF!</f>
        <v>#REF!</v>
      </c>
      <c r="D211" s="29"/>
      <c r="E211" s="15"/>
      <c r="F211" s="5" t="e">
        <f>+'Measurment 3rd floor'!#REF!</f>
        <v>#REF!</v>
      </c>
    </row>
    <row r="212" spans="1:6" ht="14.1" customHeight="1" x14ac:dyDescent="0.3">
      <c r="A212" s="29"/>
      <c r="B212" s="15"/>
      <c r="C212" s="5" t="e">
        <f>+'Measurment 3rd floor'!#REF!</f>
        <v>#REF!</v>
      </c>
      <c r="D212" s="29"/>
      <c r="E212" s="2" t="s">
        <v>49</v>
      </c>
      <c r="F212" s="2" t="e">
        <f>SUM(F190:F211)</f>
        <v>#REF!</v>
      </c>
    </row>
    <row r="213" spans="1:6" ht="14.1" customHeight="1" x14ac:dyDescent="0.3">
      <c r="A213" s="29"/>
      <c r="B213" s="2" t="s">
        <v>49</v>
      </c>
      <c r="C213" s="2" t="e">
        <f>SUM(C166:C212)</f>
        <v>#REF!</v>
      </c>
      <c r="D213" s="29"/>
      <c r="E213" s="15"/>
      <c r="F213" s="5"/>
    </row>
    <row r="214" spans="1:6" ht="14.1" customHeight="1" x14ac:dyDescent="0.3">
      <c r="A214" s="29"/>
      <c r="B214" s="15"/>
      <c r="C214" s="5"/>
      <c r="D214" s="29"/>
      <c r="E214" s="15"/>
      <c r="F214" s="5"/>
    </row>
    <row r="215" spans="1:6" ht="14.1" customHeight="1" x14ac:dyDescent="0.3">
      <c r="A215" s="29"/>
      <c r="B215" s="15"/>
      <c r="C215" s="5"/>
      <c r="D215" s="29"/>
      <c r="E215" s="15"/>
      <c r="F215" s="5"/>
    </row>
    <row r="216" spans="1:6" ht="14.1" customHeight="1" x14ac:dyDescent="0.3">
      <c r="A216" s="29"/>
      <c r="B216" s="15"/>
      <c r="C216" s="5"/>
      <c r="D216" s="29"/>
      <c r="E216" s="15"/>
      <c r="F216" s="5"/>
    </row>
    <row r="217" spans="1:6" ht="14.1" customHeight="1" x14ac:dyDescent="0.3">
      <c r="A217" s="29"/>
      <c r="B217" s="15"/>
      <c r="C217" s="5"/>
      <c r="D217" s="29"/>
      <c r="E217" s="15"/>
      <c r="F217" s="5"/>
    </row>
    <row r="218" spans="1:6" ht="14.1" customHeight="1" x14ac:dyDescent="0.3">
      <c r="A218" s="29"/>
      <c r="B218" s="15"/>
      <c r="C218" s="5"/>
      <c r="D218" s="29"/>
      <c r="E218" s="15"/>
      <c r="F218" s="5"/>
    </row>
    <row r="219" spans="1:6" ht="14.1" customHeight="1" x14ac:dyDescent="0.3">
      <c r="A219" s="29"/>
      <c r="B219" s="15"/>
      <c r="C219" s="5"/>
      <c r="D219" s="29"/>
      <c r="E219" s="15"/>
      <c r="F219" s="5"/>
    </row>
    <row r="220" spans="1:6" ht="14.1" customHeight="1" x14ac:dyDescent="0.3">
      <c r="A220" s="29"/>
      <c r="B220" s="15"/>
      <c r="C220" s="5"/>
      <c r="D220" s="29"/>
      <c r="E220" s="15"/>
      <c r="F220" s="5"/>
    </row>
    <row r="221" spans="1:6" ht="12.9" customHeight="1" x14ac:dyDescent="0.3">
      <c r="A221" s="29">
        <f>+D190+1</f>
        <v>16</v>
      </c>
      <c r="B221" s="7" t="s">
        <v>56</v>
      </c>
      <c r="C221" s="5">
        <f>+'Measurment 3rd floor'!G177</f>
        <v>0</v>
      </c>
      <c r="D221" s="29">
        <f>+A221+1</f>
        <v>17</v>
      </c>
      <c r="E221" s="7" t="s">
        <v>82</v>
      </c>
      <c r="F221" s="5">
        <f>+'Measurment 3rd floor'!G181</f>
        <v>13.16</v>
      </c>
    </row>
    <row r="222" spans="1:6" ht="12.9" customHeight="1" x14ac:dyDescent="0.3">
      <c r="A222" s="29"/>
      <c r="B222" s="15"/>
      <c r="C222" s="5">
        <f>+'Measurment 3rd floor'!G191</f>
        <v>152.41</v>
      </c>
      <c r="D222" s="29"/>
      <c r="E222" s="15" t="s">
        <v>81</v>
      </c>
      <c r="F222" s="5">
        <f>+'Measurment 3rd floor'!G196</f>
        <v>0</v>
      </c>
    </row>
    <row r="223" spans="1:6" ht="12.9" customHeight="1" x14ac:dyDescent="0.3">
      <c r="A223" s="29"/>
      <c r="B223" s="15"/>
      <c r="C223" s="5">
        <f>+'Measurment 3rd floor'!G211</f>
        <v>0.5</v>
      </c>
      <c r="D223" s="29"/>
      <c r="E223" s="15"/>
      <c r="F223" s="5" t="e">
        <f>+'Measurment 3rd floor'!#REF!</f>
        <v>#REF!</v>
      </c>
    </row>
    <row r="224" spans="1:6" ht="12.9" customHeight="1" x14ac:dyDescent="0.3">
      <c r="A224" s="29"/>
      <c r="B224" s="15"/>
      <c r="C224" s="5">
        <f>+'Measurment 3rd floor'!G360</f>
        <v>0</v>
      </c>
      <c r="D224" s="29"/>
      <c r="E224" s="15"/>
      <c r="F224" s="5">
        <f>+'Measurment 3rd floor'!G367</f>
        <v>5.25</v>
      </c>
    </row>
    <row r="225" spans="1:6" ht="12.9" customHeight="1" x14ac:dyDescent="0.3">
      <c r="A225" s="29"/>
      <c r="B225" s="15"/>
      <c r="C225" s="5" t="e">
        <f>+'Measurment 3rd floor'!#REF!</f>
        <v>#REF!</v>
      </c>
      <c r="D225" s="29"/>
      <c r="E225" s="15"/>
      <c r="F225" s="5" t="e">
        <f>+'Measurment 3rd floor'!#REF!</f>
        <v>#REF!</v>
      </c>
    </row>
    <row r="226" spans="1:6" ht="12.9" customHeight="1" x14ac:dyDescent="0.3">
      <c r="A226" s="29"/>
      <c r="B226" s="15"/>
      <c r="C226" s="5" t="e">
        <f>+'Measurment 3rd floor'!#REF!</f>
        <v>#REF!</v>
      </c>
      <c r="D226" s="29"/>
      <c r="E226" s="15"/>
      <c r="F226" s="5" t="e">
        <f>+'Measurment 3rd floor'!#REF!</f>
        <v>#REF!</v>
      </c>
    </row>
    <row r="227" spans="1:6" ht="12.9" customHeight="1" x14ac:dyDescent="0.3">
      <c r="A227" s="29"/>
      <c r="B227" s="15"/>
      <c r="C227" s="5" t="e">
        <f>+'Measurment 3rd floor'!#REF!</f>
        <v>#REF!</v>
      </c>
      <c r="D227" s="29"/>
      <c r="E227" s="15"/>
      <c r="F227" s="5" t="e">
        <f>+'Measurment 3rd floor'!#REF!</f>
        <v>#REF!</v>
      </c>
    </row>
    <row r="228" spans="1:6" ht="12.9" customHeight="1" x14ac:dyDescent="0.3">
      <c r="A228" s="29"/>
      <c r="B228" s="15"/>
      <c r="C228" s="5" t="e">
        <f>+'Measurment 3rd floor'!#REF!</f>
        <v>#REF!</v>
      </c>
      <c r="D228" s="29"/>
      <c r="E228" s="15"/>
      <c r="F228" s="5" t="e">
        <f>+'Measurment 3rd floor'!#REF!</f>
        <v>#REF!</v>
      </c>
    </row>
    <row r="229" spans="1:6" ht="12.9" customHeight="1" x14ac:dyDescent="0.3">
      <c r="A229" s="29"/>
      <c r="B229" s="15"/>
      <c r="C229" s="5" t="e">
        <f>+'Measurment 3rd floor'!#REF!</f>
        <v>#REF!</v>
      </c>
      <c r="D229" s="29"/>
      <c r="E229" s="15"/>
      <c r="F229" s="5" t="e">
        <f>+'Measurment 3rd floor'!#REF!</f>
        <v>#REF!</v>
      </c>
    </row>
    <row r="230" spans="1:6" ht="12.9" customHeight="1" x14ac:dyDescent="0.3">
      <c r="A230" s="29"/>
      <c r="B230" s="15"/>
      <c r="C230" s="5" t="e">
        <f>+'Measurment 3rd floor'!#REF!</f>
        <v>#REF!</v>
      </c>
      <c r="D230" s="29"/>
      <c r="E230" s="15"/>
      <c r="F230" s="5" t="e">
        <f>+'Measurment 3rd floor'!#REF!</f>
        <v>#REF!</v>
      </c>
    </row>
    <row r="231" spans="1:6" ht="12.9" customHeight="1" x14ac:dyDescent="0.3">
      <c r="A231" s="29"/>
      <c r="B231" s="15"/>
      <c r="C231" s="5" t="e">
        <f>+'Measurment 3rd floor'!#REF!</f>
        <v>#REF!</v>
      </c>
      <c r="D231" s="29"/>
      <c r="E231" s="15"/>
      <c r="F231" s="5" t="e">
        <f>+'Measurment 3rd floor'!#REF!</f>
        <v>#REF!</v>
      </c>
    </row>
    <row r="232" spans="1:6" ht="12.9" customHeight="1" x14ac:dyDescent="0.3">
      <c r="A232" s="29"/>
      <c r="B232" s="15"/>
      <c r="C232" s="5" t="e">
        <f>+'Measurment 3rd floor'!#REF!</f>
        <v>#REF!</v>
      </c>
      <c r="D232" s="29"/>
      <c r="E232" s="15"/>
      <c r="F232" s="5" t="e">
        <f>+'Measurment 3rd floor'!#REF!</f>
        <v>#REF!</v>
      </c>
    </row>
    <row r="233" spans="1:6" ht="12.9" customHeight="1" x14ac:dyDescent="0.3">
      <c r="A233" s="29"/>
      <c r="B233" s="15"/>
      <c r="C233" s="5" t="e">
        <f>+'Measurment 3rd floor'!#REF!</f>
        <v>#REF!</v>
      </c>
      <c r="D233" s="29"/>
      <c r="E233" s="15"/>
      <c r="F233" s="5" t="e">
        <f>+'Measurment 3rd floor'!#REF!</f>
        <v>#REF!</v>
      </c>
    </row>
    <row r="234" spans="1:6" ht="12.9" customHeight="1" x14ac:dyDescent="0.3">
      <c r="A234" s="29"/>
      <c r="B234" s="15"/>
      <c r="C234" s="5" t="e">
        <f>+'Measurment 3rd floor'!#REF!</f>
        <v>#REF!</v>
      </c>
      <c r="D234" s="29"/>
      <c r="E234" s="15"/>
      <c r="F234" s="5" t="e">
        <f>+'Measurment 3rd floor'!#REF!</f>
        <v>#REF!</v>
      </c>
    </row>
    <row r="235" spans="1:6" ht="12.9" customHeight="1" x14ac:dyDescent="0.3">
      <c r="A235" s="29"/>
      <c r="B235" s="15"/>
      <c r="C235" s="5" t="e">
        <f>+'Measurment 3rd floor'!#REF!</f>
        <v>#REF!</v>
      </c>
      <c r="D235" s="29"/>
      <c r="E235" s="15"/>
      <c r="F235" s="5" t="e">
        <f>+'Measurment 3rd floor'!#REF!</f>
        <v>#REF!</v>
      </c>
    </row>
    <row r="236" spans="1:6" ht="12.9" customHeight="1" x14ac:dyDescent="0.3">
      <c r="A236" s="29"/>
      <c r="B236" s="15"/>
      <c r="C236" s="5" t="e">
        <f>+'Measurment 3rd floor'!#REF!</f>
        <v>#REF!</v>
      </c>
      <c r="D236" s="29"/>
      <c r="E236" s="15"/>
      <c r="F236" s="5" t="e">
        <f>+'Measurment 3rd floor'!#REF!</f>
        <v>#REF!</v>
      </c>
    </row>
    <row r="237" spans="1:6" ht="12.9" customHeight="1" x14ac:dyDescent="0.3">
      <c r="A237" s="29"/>
      <c r="B237" s="15"/>
      <c r="C237" s="5" t="e">
        <f>+'Measurment 3rd floor'!#REF!</f>
        <v>#REF!</v>
      </c>
      <c r="D237" s="29"/>
      <c r="E237" s="15"/>
      <c r="F237" s="5" t="e">
        <f>+'Measurment 3rd floor'!#REF!</f>
        <v>#REF!</v>
      </c>
    </row>
    <row r="238" spans="1:6" ht="12.9" customHeight="1" x14ac:dyDescent="0.3">
      <c r="A238" s="29"/>
      <c r="B238" s="15"/>
      <c r="C238" s="5" t="e">
        <f>+'Measurment 3rd floor'!#REF!</f>
        <v>#REF!</v>
      </c>
      <c r="D238" s="29"/>
      <c r="E238" s="15"/>
      <c r="F238" s="5" t="e">
        <f>+'Measurment 3rd floor'!#REF!</f>
        <v>#REF!</v>
      </c>
    </row>
    <row r="239" spans="1:6" ht="12.9" customHeight="1" x14ac:dyDescent="0.3">
      <c r="A239" s="29"/>
      <c r="B239" s="15"/>
      <c r="C239" s="5" t="e">
        <f>+'Measurment 3rd floor'!#REF!</f>
        <v>#REF!</v>
      </c>
      <c r="D239" s="29"/>
      <c r="E239" s="15"/>
      <c r="F239" s="5" t="e">
        <f>+'Measurment 3rd floor'!#REF!</f>
        <v>#REF!</v>
      </c>
    </row>
    <row r="240" spans="1:6" ht="12.9" customHeight="1" x14ac:dyDescent="0.3">
      <c r="A240" s="29"/>
      <c r="B240" s="15"/>
      <c r="C240" s="5" t="e">
        <f>+'Measurment 3rd floor'!#REF!</f>
        <v>#REF!</v>
      </c>
      <c r="D240" s="29"/>
      <c r="E240" s="15"/>
      <c r="F240" s="5" t="e">
        <f>+'Measurment 3rd floor'!#REF!</f>
        <v>#REF!</v>
      </c>
    </row>
    <row r="241" spans="1:6" ht="12.9" customHeight="1" x14ac:dyDescent="0.3">
      <c r="A241" s="29"/>
      <c r="B241" s="15"/>
      <c r="C241" s="5" t="e">
        <f>+'Measurment 3rd floor'!#REF!</f>
        <v>#REF!</v>
      </c>
      <c r="D241" s="29"/>
      <c r="E241" s="15"/>
      <c r="F241" s="5" t="e">
        <f>+'Measurment 3rd floor'!#REF!</f>
        <v>#REF!</v>
      </c>
    </row>
    <row r="242" spans="1:6" ht="12.9" customHeight="1" x14ac:dyDescent="0.3">
      <c r="A242" s="29"/>
      <c r="B242" s="15"/>
      <c r="C242" s="5" t="e">
        <f>+'Measurment 3rd floor'!#REF!</f>
        <v>#REF!</v>
      </c>
      <c r="D242" s="29"/>
      <c r="E242" s="15"/>
      <c r="F242" s="5" t="e">
        <f>+'Measurment 3rd floor'!#REF!</f>
        <v>#REF!</v>
      </c>
    </row>
    <row r="243" spans="1:6" ht="12.9" customHeight="1" x14ac:dyDescent="0.3">
      <c r="A243" s="29"/>
      <c r="B243" s="15"/>
      <c r="C243" s="5" t="e">
        <f>+'Measurment 3rd floor'!#REF!</f>
        <v>#REF!</v>
      </c>
      <c r="D243" s="29"/>
      <c r="E243" s="15"/>
      <c r="F243" s="5" t="e">
        <f>+'Measurment 3rd floor'!#REF!</f>
        <v>#REF!</v>
      </c>
    </row>
    <row r="244" spans="1:6" ht="12.9" customHeight="1" x14ac:dyDescent="0.3">
      <c r="A244" s="29"/>
      <c r="B244" s="15"/>
      <c r="C244" s="5" t="e">
        <f>+'Measurment 3rd floor'!#REF!</f>
        <v>#REF!</v>
      </c>
      <c r="D244" s="29"/>
      <c r="E244" s="15"/>
      <c r="F244" s="5" t="e">
        <f>+'Measurment 3rd floor'!#REF!</f>
        <v>#REF!</v>
      </c>
    </row>
    <row r="245" spans="1:6" ht="12.9" customHeight="1" x14ac:dyDescent="0.3">
      <c r="A245" s="29"/>
      <c r="B245" s="15"/>
      <c r="C245" s="5" t="e">
        <f>+'Measurment 3rd floor'!#REF!</f>
        <v>#REF!</v>
      </c>
      <c r="D245" s="29"/>
      <c r="E245" s="15"/>
      <c r="F245" s="5" t="e">
        <f>+'Measurment 3rd floor'!#REF!</f>
        <v>#REF!</v>
      </c>
    </row>
    <row r="246" spans="1:6" ht="12.9" customHeight="1" x14ac:dyDescent="0.3">
      <c r="A246" s="29"/>
      <c r="B246" s="15"/>
      <c r="C246" s="5" t="e">
        <f>+'Measurment 3rd floor'!#REF!</f>
        <v>#REF!</v>
      </c>
      <c r="D246" s="29"/>
      <c r="E246" s="15"/>
      <c r="F246" s="5" t="e">
        <f>+'Measurment 3rd floor'!#REF!</f>
        <v>#REF!</v>
      </c>
    </row>
    <row r="247" spans="1:6" ht="12.9" customHeight="1" x14ac:dyDescent="0.3">
      <c r="A247" s="29"/>
      <c r="B247" s="15"/>
      <c r="C247" s="5" t="e">
        <f>+'Measurment 3rd floor'!#REF!</f>
        <v>#REF!</v>
      </c>
      <c r="D247" s="29"/>
      <c r="E247" s="15"/>
      <c r="F247" s="5" t="e">
        <f>+'Measurment 3rd floor'!#REF!</f>
        <v>#REF!</v>
      </c>
    </row>
    <row r="248" spans="1:6" ht="12.9" customHeight="1" x14ac:dyDescent="0.3">
      <c r="A248" s="29"/>
      <c r="B248" s="15"/>
      <c r="C248" s="5" t="e">
        <f>+'Measurment 3rd floor'!#REF!</f>
        <v>#REF!</v>
      </c>
      <c r="D248" s="29"/>
      <c r="E248" s="15"/>
      <c r="F248" s="5" t="e">
        <f>+'Measurment 3rd floor'!#REF!</f>
        <v>#REF!</v>
      </c>
    </row>
    <row r="249" spans="1:6" ht="12.9" customHeight="1" x14ac:dyDescent="0.3">
      <c r="A249" s="29"/>
      <c r="B249" s="15"/>
      <c r="C249" s="5" t="e">
        <f>+'Measurment 3rd floor'!#REF!</f>
        <v>#REF!</v>
      </c>
      <c r="D249" s="29"/>
      <c r="E249" s="15"/>
      <c r="F249" s="5" t="e">
        <f>+'Measurment 3rd floor'!#REF!</f>
        <v>#REF!</v>
      </c>
    </row>
    <row r="250" spans="1:6" ht="12.9" customHeight="1" x14ac:dyDescent="0.3">
      <c r="A250" s="29"/>
      <c r="B250" s="15"/>
      <c r="C250" s="5" t="e">
        <f>+'Measurment 3rd floor'!#REF!</f>
        <v>#REF!</v>
      </c>
      <c r="D250" s="29"/>
      <c r="E250" s="15"/>
      <c r="F250" s="5" t="e">
        <f>+'Measurment 3rd floor'!#REF!</f>
        <v>#REF!</v>
      </c>
    </row>
    <row r="251" spans="1:6" ht="12.9" customHeight="1" x14ac:dyDescent="0.3">
      <c r="A251" s="29"/>
      <c r="B251" s="15"/>
      <c r="C251" s="5" t="e">
        <f>+'Measurment 3rd floor'!#REF!</f>
        <v>#REF!</v>
      </c>
      <c r="D251" s="29"/>
      <c r="E251" s="15"/>
      <c r="F251" s="5" t="e">
        <f>+'Measurment 3rd floor'!#REF!</f>
        <v>#REF!</v>
      </c>
    </row>
    <row r="252" spans="1:6" ht="12.9" customHeight="1" x14ac:dyDescent="0.3">
      <c r="A252" s="29"/>
      <c r="B252" s="15"/>
      <c r="C252" s="5" t="e">
        <f>+'Measurment 3rd floor'!#REF!</f>
        <v>#REF!</v>
      </c>
      <c r="D252" s="29"/>
      <c r="E252" s="15"/>
      <c r="F252" s="5" t="e">
        <f>+'Measurment 3rd floor'!#REF!</f>
        <v>#REF!</v>
      </c>
    </row>
    <row r="253" spans="1:6" ht="12.9" customHeight="1" x14ac:dyDescent="0.3">
      <c r="A253" s="29"/>
      <c r="B253" s="15"/>
      <c r="C253" s="5" t="e">
        <f>+'Measurment 3rd floor'!#REF!</f>
        <v>#REF!</v>
      </c>
      <c r="D253" s="29"/>
      <c r="E253" s="15"/>
      <c r="F253" s="5" t="e">
        <f>+'Measurment 3rd floor'!#REF!</f>
        <v>#REF!</v>
      </c>
    </row>
    <row r="254" spans="1:6" ht="12.9" customHeight="1" x14ac:dyDescent="0.3">
      <c r="A254" s="29"/>
      <c r="B254" s="15"/>
      <c r="C254" s="5" t="e">
        <f>+'Measurment 3rd floor'!#REF!</f>
        <v>#REF!</v>
      </c>
      <c r="D254" s="29"/>
      <c r="E254" s="15"/>
      <c r="F254" s="5" t="e">
        <f>+'Measurment 3rd floor'!#REF!</f>
        <v>#REF!</v>
      </c>
    </row>
    <row r="255" spans="1:6" ht="12.9" customHeight="1" x14ac:dyDescent="0.3">
      <c r="A255" s="29"/>
      <c r="B255" s="15"/>
      <c r="C255" s="5" t="e">
        <f>+'Measurment 3rd floor'!#REF!</f>
        <v>#REF!</v>
      </c>
      <c r="D255" s="29"/>
      <c r="E255" s="15"/>
      <c r="F255" s="5" t="e">
        <f>+'Measurment 3rd floor'!#REF!</f>
        <v>#REF!</v>
      </c>
    </row>
    <row r="256" spans="1:6" ht="12.9" customHeight="1" x14ac:dyDescent="0.3">
      <c r="A256" s="29"/>
      <c r="B256" s="15"/>
      <c r="C256" s="5" t="e">
        <f>+'Measurment 3rd floor'!#REF!</f>
        <v>#REF!</v>
      </c>
      <c r="D256" s="29"/>
      <c r="E256" s="15"/>
      <c r="F256" s="5" t="e">
        <f>+'Measurment 3rd floor'!#REF!</f>
        <v>#REF!</v>
      </c>
    </row>
    <row r="257" spans="1:6" ht="12.9" customHeight="1" x14ac:dyDescent="0.3">
      <c r="A257" s="29"/>
      <c r="B257" s="15"/>
      <c r="C257" s="5" t="e">
        <f>+'Measurment 3rd floor'!#REF!</f>
        <v>#REF!</v>
      </c>
      <c r="D257" s="29"/>
      <c r="E257" s="15"/>
      <c r="F257" s="5" t="e">
        <f>+'Measurment 3rd floor'!#REF!</f>
        <v>#REF!</v>
      </c>
    </row>
    <row r="258" spans="1:6" ht="12.9" customHeight="1" x14ac:dyDescent="0.3">
      <c r="A258" s="29"/>
      <c r="B258" s="15"/>
      <c r="C258" s="5" t="e">
        <f>+'Measurment 3rd floor'!#REF!</f>
        <v>#REF!</v>
      </c>
      <c r="D258" s="29"/>
      <c r="E258" s="15"/>
      <c r="F258" s="5" t="e">
        <f>+'Measurment 3rd floor'!#REF!</f>
        <v>#REF!</v>
      </c>
    </row>
    <row r="259" spans="1:6" ht="12.9" customHeight="1" x14ac:dyDescent="0.3">
      <c r="A259" s="29"/>
      <c r="B259" s="15"/>
      <c r="C259" s="5" t="e">
        <f>+'Measurment 3rd floor'!#REF!</f>
        <v>#REF!</v>
      </c>
      <c r="D259" s="29"/>
      <c r="E259" s="15"/>
      <c r="F259" s="5" t="e">
        <f>+'Measurment 3rd floor'!#REF!</f>
        <v>#REF!</v>
      </c>
    </row>
    <row r="260" spans="1:6" ht="12.9" customHeight="1" x14ac:dyDescent="0.3">
      <c r="A260" s="29"/>
      <c r="B260" s="15"/>
      <c r="C260" s="5" t="e">
        <f>+'Measurment 3rd floor'!#REF!</f>
        <v>#REF!</v>
      </c>
      <c r="D260" s="29"/>
      <c r="E260" s="15"/>
      <c r="F260" s="5" t="e">
        <f>+'Measurment 3rd floor'!#REF!</f>
        <v>#REF!</v>
      </c>
    </row>
    <row r="261" spans="1:6" ht="12.9" customHeight="1" x14ac:dyDescent="0.3">
      <c r="A261" s="29"/>
      <c r="B261" s="15"/>
      <c r="C261" s="5" t="e">
        <f>+'Measurment 3rd floor'!#REF!</f>
        <v>#REF!</v>
      </c>
      <c r="D261" s="29"/>
      <c r="E261" s="15"/>
      <c r="F261" s="5" t="e">
        <f>+'Measurment 3rd floor'!#REF!</f>
        <v>#REF!</v>
      </c>
    </row>
    <row r="262" spans="1:6" ht="12.9" customHeight="1" x14ac:dyDescent="0.3">
      <c r="A262" s="29"/>
      <c r="B262" s="15"/>
      <c r="C262" s="5" t="e">
        <f>+'Measurment 3rd floor'!#REF!</f>
        <v>#REF!</v>
      </c>
      <c r="D262" s="29"/>
      <c r="E262" s="15"/>
      <c r="F262" s="5" t="e">
        <f>+'Measurment 3rd floor'!#REF!</f>
        <v>#REF!</v>
      </c>
    </row>
    <row r="263" spans="1:6" ht="12.9" customHeight="1" x14ac:dyDescent="0.3">
      <c r="A263" s="29"/>
      <c r="B263" s="17"/>
      <c r="C263" s="5" t="e">
        <f>+'Measurment 3rd floor'!#REF!</f>
        <v>#REF!</v>
      </c>
      <c r="D263" s="29"/>
      <c r="E263" s="17"/>
      <c r="F263" s="5" t="e">
        <f>+'Measurment 3rd floor'!#REF!</f>
        <v>#REF!</v>
      </c>
    </row>
    <row r="264" spans="1:6" ht="12.9" customHeight="1" x14ac:dyDescent="0.3">
      <c r="A264" s="29"/>
      <c r="B264" s="15"/>
      <c r="C264" s="5" t="e">
        <f>+'Measurment 3rd floor'!#REF!</f>
        <v>#REF!</v>
      </c>
      <c r="D264" s="29"/>
      <c r="E264" s="15"/>
      <c r="F264" s="5" t="e">
        <f>+'Measurment 3rd floor'!#REF!</f>
        <v>#REF!</v>
      </c>
    </row>
    <row r="265" spans="1:6" ht="12.9" customHeight="1" x14ac:dyDescent="0.3">
      <c r="A265" s="29"/>
      <c r="B265" s="15"/>
      <c r="C265" s="5" t="e">
        <f>+'Measurment 3rd floor'!#REF!</f>
        <v>#REF!</v>
      </c>
      <c r="D265" s="29"/>
      <c r="E265" s="15"/>
      <c r="F265" s="5" t="e">
        <f>+'Measurment 3rd floor'!#REF!</f>
        <v>#REF!</v>
      </c>
    </row>
    <row r="266" spans="1:6" ht="12.9" customHeight="1" x14ac:dyDescent="0.3">
      <c r="A266" s="29"/>
      <c r="B266" s="15"/>
      <c r="C266" s="5" t="e">
        <f>+'Measurment 3rd floor'!#REF!</f>
        <v>#REF!</v>
      </c>
      <c r="D266" s="29"/>
      <c r="E266" s="15"/>
      <c r="F266" s="5" t="e">
        <f>+'Measurment 3rd floor'!#REF!</f>
        <v>#REF!</v>
      </c>
    </row>
    <row r="267" spans="1:6" ht="12.9" customHeight="1" x14ac:dyDescent="0.3">
      <c r="A267" s="29"/>
      <c r="B267" s="15"/>
      <c r="C267" s="5" t="e">
        <f>+'Measurment 3rd floor'!#REF!</f>
        <v>#REF!</v>
      </c>
      <c r="D267" s="29"/>
      <c r="E267" s="15"/>
      <c r="F267" s="5" t="e">
        <f>+'Measurment 3rd floor'!#REF!</f>
        <v>#REF!</v>
      </c>
    </row>
    <row r="268" spans="1:6" ht="12.9" customHeight="1" x14ac:dyDescent="0.3">
      <c r="A268" s="29"/>
      <c r="B268" s="15"/>
      <c r="C268" s="5" t="e">
        <f>+'Measurment 3rd floor'!#REF!</f>
        <v>#REF!</v>
      </c>
      <c r="D268" s="29"/>
      <c r="E268" s="15"/>
      <c r="F268" s="5" t="e">
        <f>+'Measurment 3rd floor'!#REF!</f>
        <v>#REF!</v>
      </c>
    </row>
    <row r="269" spans="1:6" ht="12.9" customHeight="1" x14ac:dyDescent="0.3">
      <c r="A269" s="29"/>
      <c r="B269" s="15"/>
      <c r="C269" s="5" t="e">
        <f>+'Measurment 3rd floor'!#REF!</f>
        <v>#REF!</v>
      </c>
      <c r="D269" s="29"/>
      <c r="E269" s="15"/>
      <c r="F269" s="5" t="e">
        <f>+'Measurment 3rd floor'!#REF!</f>
        <v>#REF!</v>
      </c>
    </row>
    <row r="270" spans="1:6" ht="12.9" customHeight="1" x14ac:dyDescent="0.3">
      <c r="A270" s="29"/>
      <c r="B270" s="15"/>
      <c r="C270" s="5" t="e">
        <f>+'Measurment 3rd floor'!#REF!</f>
        <v>#REF!</v>
      </c>
      <c r="D270" s="29"/>
      <c r="E270" s="15"/>
      <c r="F270" s="5" t="e">
        <f>+'Measurment 3rd floor'!#REF!</f>
        <v>#REF!</v>
      </c>
    </row>
    <row r="271" spans="1:6" ht="12.9" customHeight="1" x14ac:dyDescent="0.3">
      <c r="A271" s="29"/>
      <c r="B271" s="15"/>
      <c r="C271" s="5" t="e">
        <f>+'Measurment 3rd floor'!#REF!</f>
        <v>#REF!</v>
      </c>
      <c r="D271" s="29"/>
      <c r="E271" s="15"/>
      <c r="F271" s="5" t="e">
        <f>+'Measurment 3rd floor'!#REF!</f>
        <v>#REF!</v>
      </c>
    </row>
    <row r="272" spans="1:6" ht="12.9" customHeight="1" x14ac:dyDescent="0.3">
      <c r="A272" s="29"/>
      <c r="B272" s="15"/>
      <c r="C272" s="5" t="e">
        <f>+'Measurment 3rd floor'!#REF!</f>
        <v>#REF!</v>
      </c>
      <c r="D272" s="29"/>
      <c r="E272" s="15"/>
      <c r="F272" s="5" t="e">
        <f>+'Measurment 3rd floor'!#REF!</f>
        <v>#REF!</v>
      </c>
    </row>
    <row r="273" spans="1:10" ht="12.9" customHeight="1" x14ac:dyDescent="0.3">
      <c r="A273" s="29"/>
      <c r="B273" s="15"/>
      <c r="C273" s="5" t="e">
        <f>+'Measurment 3rd floor'!#REF!</f>
        <v>#REF!</v>
      </c>
      <c r="D273" s="29"/>
      <c r="E273" s="15"/>
      <c r="F273" s="5" t="e">
        <f>+'Measurment 3rd floor'!#REF!</f>
        <v>#REF!</v>
      </c>
    </row>
    <row r="274" spans="1:10" ht="12.9" customHeight="1" x14ac:dyDescent="0.3">
      <c r="A274" s="29"/>
      <c r="B274" s="15"/>
      <c r="C274" s="5" t="e">
        <f>+'Measurment 3rd floor'!#REF!</f>
        <v>#REF!</v>
      </c>
      <c r="D274" s="29"/>
      <c r="E274" s="15"/>
      <c r="F274" s="5" t="e">
        <f>+'Measurment 3rd floor'!#REF!</f>
        <v>#REF!</v>
      </c>
    </row>
    <row r="275" spans="1:10" ht="12.9" customHeight="1" x14ac:dyDescent="0.3">
      <c r="A275" s="29"/>
      <c r="B275" s="15"/>
      <c r="C275" s="5" t="e">
        <f>+'Measurment 3rd floor'!#REF!</f>
        <v>#REF!</v>
      </c>
      <c r="D275" s="29"/>
      <c r="E275" s="15"/>
      <c r="F275" s="5" t="e">
        <f>+'Measurment 3rd floor'!#REF!</f>
        <v>#REF!</v>
      </c>
    </row>
    <row r="276" spans="1:10" ht="12.9" customHeight="1" x14ac:dyDescent="0.3">
      <c r="A276" s="29"/>
      <c r="B276" s="15"/>
      <c r="C276" s="5" t="e">
        <f>+'Measurment 3rd floor'!#REF!</f>
        <v>#REF!</v>
      </c>
      <c r="D276" s="29"/>
      <c r="E276" s="15"/>
      <c r="F276" s="5" t="e">
        <f>+'Measurment 3rd floor'!#REF!</f>
        <v>#REF!</v>
      </c>
      <c r="J276" s="8"/>
    </row>
    <row r="277" spans="1:10" ht="12.9" customHeight="1" x14ac:dyDescent="0.3">
      <c r="A277" s="29"/>
      <c r="B277" s="15"/>
      <c r="C277" s="5" t="e">
        <f>+'Measurment 3rd floor'!#REF!</f>
        <v>#REF!</v>
      </c>
      <c r="D277" s="29"/>
      <c r="E277" s="15"/>
      <c r="F277" s="5" t="e">
        <f>+'Measurment 3rd floor'!#REF!</f>
        <v>#REF!</v>
      </c>
    </row>
    <row r="278" spans="1:10" ht="12.9" customHeight="1" x14ac:dyDescent="0.3">
      <c r="A278" s="29"/>
      <c r="B278" s="15"/>
      <c r="C278" s="5" t="e">
        <f>+'Measurment 3rd floor'!#REF!</f>
        <v>#REF!</v>
      </c>
      <c r="D278" s="29"/>
      <c r="E278" s="2" t="s">
        <v>49</v>
      </c>
      <c r="F278" s="2" t="e">
        <f>SUM(F221:F277)</f>
        <v>#REF!</v>
      </c>
    </row>
    <row r="279" spans="1:10" ht="12.9" customHeight="1" x14ac:dyDescent="0.3">
      <c r="A279" s="29"/>
      <c r="B279" s="15"/>
      <c r="C279" s="5" t="e">
        <f>+'Measurment 3rd floor'!#REF!</f>
        <v>#REF!</v>
      </c>
      <c r="D279" s="29"/>
      <c r="E279" s="2"/>
      <c r="F279" s="2"/>
    </row>
    <row r="280" spans="1:10" ht="12.9" customHeight="1" x14ac:dyDescent="0.3">
      <c r="A280" s="29"/>
      <c r="B280" s="2" t="s">
        <v>49</v>
      </c>
      <c r="C280" s="2" t="e">
        <f>SUM(C221:C279)</f>
        <v>#REF!</v>
      </c>
      <c r="D280" s="29"/>
      <c r="E280" s="2"/>
      <c r="F280" s="2"/>
    </row>
    <row r="281" spans="1:10" ht="14.1" customHeight="1" x14ac:dyDescent="0.3">
      <c r="A281" s="29">
        <f>+D221+1</f>
        <v>18</v>
      </c>
      <c r="B281" s="7" t="s">
        <v>19</v>
      </c>
      <c r="C281" s="5">
        <f>+'Measurment 3rd floor'!G109</f>
        <v>0</v>
      </c>
      <c r="D281" s="29">
        <f>+A325+1</f>
        <v>24</v>
      </c>
      <c r="E281" s="7" t="s">
        <v>90</v>
      </c>
      <c r="F281" s="2" t="e">
        <f>+'Measurment 3rd floor'!#REF!</f>
        <v>#REF!</v>
      </c>
    </row>
    <row r="282" spans="1:10" ht="14.1" customHeight="1" x14ac:dyDescent="0.3">
      <c r="A282" s="29"/>
      <c r="B282" s="7"/>
      <c r="C282" s="5">
        <f>+'Measurment 3rd floor'!G560</f>
        <v>6.58</v>
      </c>
      <c r="D282" s="29"/>
      <c r="E282" s="15" t="s">
        <v>88</v>
      </c>
      <c r="F282" s="5"/>
    </row>
    <row r="283" spans="1:10" ht="14.1" customHeight="1" x14ac:dyDescent="0.3">
      <c r="A283" s="29"/>
      <c r="B283" s="7"/>
      <c r="C283" s="5" t="e">
        <f>+'Measurment 3rd floor'!#REF!</f>
        <v>#REF!</v>
      </c>
      <c r="D283" s="29"/>
      <c r="E283" s="15"/>
      <c r="F283" s="5"/>
    </row>
    <row r="284" spans="1:10" ht="14.1" customHeight="1" x14ac:dyDescent="0.3">
      <c r="A284" s="29"/>
      <c r="B284" s="7"/>
      <c r="C284" s="5" t="e">
        <f>+'Measurment 3rd floor'!#REF!</f>
        <v>#REF!</v>
      </c>
      <c r="D284" s="29">
        <f>+D281+1</f>
        <v>25</v>
      </c>
      <c r="E284" s="7" t="s">
        <v>36</v>
      </c>
      <c r="F284" s="5">
        <f>+'Measurment 3rd floor'!G451</f>
        <v>0</v>
      </c>
    </row>
    <row r="285" spans="1:10" ht="14.1" customHeight="1" x14ac:dyDescent="0.3">
      <c r="A285" s="29"/>
      <c r="B285" s="7"/>
      <c r="C285" s="5" t="e">
        <f>+'Measurment 3rd floor'!#REF!</f>
        <v>#REF!</v>
      </c>
      <c r="D285" s="29"/>
      <c r="E285" s="15"/>
      <c r="F285" s="5" t="e">
        <f>+'Measurment 3rd floor'!#REF!</f>
        <v>#REF!</v>
      </c>
    </row>
    <row r="286" spans="1:10" ht="14.1" customHeight="1" x14ac:dyDescent="0.3">
      <c r="A286" s="29"/>
      <c r="B286" s="7"/>
      <c r="C286" s="5" t="e">
        <f>+'Measurment 3rd floor'!#REF!</f>
        <v>#REF!</v>
      </c>
      <c r="D286" s="29"/>
      <c r="E286" s="15"/>
      <c r="F286" s="5" t="e">
        <f>+'Measurment 3rd floor'!#REF!</f>
        <v>#REF!</v>
      </c>
    </row>
    <row r="287" spans="1:10" ht="14.1" customHeight="1" x14ac:dyDescent="0.3">
      <c r="A287" s="29"/>
      <c r="B287" s="7"/>
      <c r="C287" s="5" t="e">
        <f>+'Measurment 3rd floor'!#REF!</f>
        <v>#REF!</v>
      </c>
      <c r="D287" s="29"/>
      <c r="E287" s="15"/>
      <c r="F287" s="5" t="e">
        <f>+'Measurment 3rd floor'!#REF!</f>
        <v>#REF!</v>
      </c>
    </row>
    <row r="288" spans="1:10" ht="14.1" customHeight="1" x14ac:dyDescent="0.3">
      <c r="A288" s="29"/>
      <c r="B288" s="15"/>
      <c r="C288" s="5" t="e">
        <f>+'Measurment 3rd floor'!#REF!</f>
        <v>#REF!</v>
      </c>
      <c r="D288" s="29"/>
      <c r="E288" s="15"/>
      <c r="F288" s="5" t="e">
        <f>+'Measurment 3rd floor'!#REF!</f>
        <v>#REF!</v>
      </c>
    </row>
    <row r="289" spans="1:6" ht="14.1" customHeight="1" x14ac:dyDescent="0.3">
      <c r="A289" s="29"/>
      <c r="B289" s="15"/>
      <c r="C289" s="5" t="e">
        <f>+'Measurment 3rd floor'!#REF!</f>
        <v>#REF!</v>
      </c>
      <c r="D289" s="29"/>
      <c r="E289" s="15"/>
      <c r="F289" s="5" t="e">
        <f>+'Measurment 3rd floor'!#REF!</f>
        <v>#REF!</v>
      </c>
    </row>
    <row r="290" spans="1:6" ht="14.1" customHeight="1" x14ac:dyDescent="0.3">
      <c r="A290" s="29"/>
      <c r="B290" s="15"/>
      <c r="C290" s="5" t="e">
        <f>+'Measurment 3rd floor'!#REF!</f>
        <v>#REF!</v>
      </c>
      <c r="D290" s="29"/>
      <c r="E290" s="15"/>
      <c r="F290" s="5" t="e">
        <f>+'Measurment 3rd floor'!#REF!</f>
        <v>#REF!</v>
      </c>
    </row>
    <row r="291" spans="1:6" ht="14.1" customHeight="1" x14ac:dyDescent="0.3">
      <c r="A291" s="29"/>
      <c r="B291" s="15"/>
      <c r="C291" s="5" t="e">
        <f>+'Measurment 3rd floor'!#REF!</f>
        <v>#REF!</v>
      </c>
      <c r="D291" s="29"/>
      <c r="E291" s="15"/>
      <c r="F291" s="5" t="e">
        <f>+'Measurment 3rd floor'!#REF!</f>
        <v>#REF!</v>
      </c>
    </row>
    <row r="292" spans="1:6" ht="14.1" customHeight="1" x14ac:dyDescent="0.3">
      <c r="A292" s="29"/>
      <c r="B292" s="2" t="s">
        <v>49</v>
      </c>
      <c r="C292" s="2" t="e">
        <f>SUM(C281:C291)</f>
        <v>#REF!</v>
      </c>
      <c r="D292" s="29"/>
      <c r="E292" s="15"/>
      <c r="F292" s="5" t="e">
        <f>+'Measurment 3rd floor'!#REF!</f>
        <v>#REF!</v>
      </c>
    </row>
    <row r="293" spans="1:6" ht="14.1" customHeight="1" x14ac:dyDescent="0.3">
      <c r="A293" s="29"/>
      <c r="B293" s="15"/>
      <c r="C293" s="5"/>
      <c r="D293" s="29"/>
      <c r="E293" s="15"/>
      <c r="F293" s="5" t="e">
        <f>+'Measurment 3rd floor'!#REF!</f>
        <v>#REF!</v>
      </c>
    </row>
    <row r="294" spans="1:6" ht="14.1" customHeight="1" x14ac:dyDescent="0.3">
      <c r="A294" s="29">
        <f>+A281+1</f>
        <v>19</v>
      </c>
      <c r="B294" s="7" t="s">
        <v>20</v>
      </c>
      <c r="C294" s="5">
        <f>+'Measurment 3rd floor'!G112</f>
        <v>0</v>
      </c>
      <c r="D294" s="29"/>
      <c r="E294" s="15"/>
      <c r="F294" s="5" t="e">
        <f>+'Measurment 3rd floor'!#REF!</f>
        <v>#REF!</v>
      </c>
    </row>
    <row r="295" spans="1:6" ht="14.1" customHeight="1" x14ac:dyDescent="0.3">
      <c r="A295" s="29"/>
      <c r="B295" s="15"/>
      <c r="C295" s="5">
        <f>+'Measurment 3rd floor'!G563</f>
        <v>0</v>
      </c>
      <c r="D295" s="29"/>
      <c r="E295" s="15"/>
      <c r="F295" s="5" t="e">
        <f>+'Measurment 3rd floor'!#REF!</f>
        <v>#REF!</v>
      </c>
    </row>
    <row r="296" spans="1:6" ht="14.1" customHeight="1" x14ac:dyDescent="0.3">
      <c r="A296" s="29"/>
      <c r="B296" s="15"/>
      <c r="C296" s="5" t="e">
        <f>+'Measurment 3rd floor'!#REF!</f>
        <v>#REF!</v>
      </c>
      <c r="D296" s="29"/>
      <c r="E296" s="15"/>
      <c r="F296" s="5" t="e">
        <f>+'Measurment 3rd floor'!#REF!</f>
        <v>#REF!</v>
      </c>
    </row>
    <row r="297" spans="1:6" ht="14.1" customHeight="1" x14ac:dyDescent="0.3">
      <c r="A297" s="29"/>
      <c r="B297" s="15"/>
      <c r="C297" s="5" t="e">
        <f>+'Measurment 3rd floor'!#REF!</f>
        <v>#REF!</v>
      </c>
      <c r="D297" s="29"/>
      <c r="E297" s="15"/>
      <c r="F297" s="5" t="e">
        <f>+'Measurment 3rd floor'!#REF!</f>
        <v>#REF!</v>
      </c>
    </row>
    <row r="298" spans="1:6" ht="14.1" customHeight="1" x14ac:dyDescent="0.3">
      <c r="A298" s="29"/>
      <c r="B298" s="15"/>
      <c r="C298" s="5" t="e">
        <f>+'Measurment 3rd floor'!#REF!</f>
        <v>#REF!</v>
      </c>
      <c r="D298" s="29"/>
      <c r="E298" s="15"/>
      <c r="F298" s="5" t="e">
        <f>+'Measurment 3rd floor'!#REF!</f>
        <v>#REF!</v>
      </c>
    </row>
    <row r="299" spans="1:6" ht="14.1" customHeight="1" x14ac:dyDescent="0.3">
      <c r="A299" s="29"/>
      <c r="B299" s="15"/>
      <c r="C299" s="5" t="e">
        <f>+'Measurment 3rd floor'!#REF!</f>
        <v>#REF!</v>
      </c>
      <c r="D299" s="29"/>
      <c r="E299" s="15"/>
      <c r="F299" s="5" t="e">
        <f>+'Measurment 3rd floor'!#REF!</f>
        <v>#REF!</v>
      </c>
    </row>
    <row r="300" spans="1:6" ht="14.1" customHeight="1" x14ac:dyDescent="0.3">
      <c r="A300" s="29"/>
      <c r="B300" s="15"/>
      <c r="C300" s="5" t="e">
        <f>+'Measurment 3rd floor'!#REF!</f>
        <v>#REF!</v>
      </c>
      <c r="D300" s="29"/>
      <c r="E300" s="15"/>
      <c r="F300" s="5" t="e">
        <f>+'Measurment 3rd floor'!#REF!</f>
        <v>#REF!</v>
      </c>
    </row>
    <row r="301" spans="1:6" ht="14.1" customHeight="1" x14ac:dyDescent="0.3">
      <c r="A301" s="29"/>
      <c r="B301" s="15"/>
      <c r="C301" s="5" t="e">
        <f>+'Measurment 3rd floor'!#REF!</f>
        <v>#REF!</v>
      </c>
      <c r="D301" s="29"/>
      <c r="E301" s="15"/>
      <c r="F301" s="5" t="e">
        <f>+'Measurment 3rd floor'!#REF!</f>
        <v>#REF!</v>
      </c>
    </row>
    <row r="302" spans="1:6" ht="14.1" customHeight="1" x14ac:dyDescent="0.3">
      <c r="A302" s="29"/>
      <c r="B302" s="15"/>
      <c r="C302" s="5" t="e">
        <f>+'Measurment 3rd floor'!#REF!</f>
        <v>#REF!</v>
      </c>
      <c r="D302" s="29"/>
      <c r="E302" s="15"/>
      <c r="F302" s="5" t="e">
        <f>+'Measurment 3rd floor'!#REF!</f>
        <v>#REF!</v>
      </c>
    </row>
    <row r="303" spans="1:6" ht="14.1" customHeight="1" x14ac:dyDescent="0.3">
      <c r="A303" s="29"/>
      <c r="B303" s="15"/>
      <c r="C303" s="5" t="e">
        <f>+'Measurment 3rd floor'!#REF!</f>
        <v>#REF!</v>
      </c>
      <c r="D303" s="29"/>
      <c r="E303" s="15"/>
      <c r="F303" s="5" t="e">
        <f>+'Measurment 3rd floor'!#REF!</f>
        <v>#REF!</v>
      </c>
    </row>
    <row r="304" spans="1:6" ht="14.1" customHeight="1" x14ac:dyDescent="0.3">
      <c r="A304" s="29"/>
      <c r="B304" s="15"/>
      <c r="C304" s="5" t="e">
        <f>+'Measurment 3rd floor'!#REF!</f>
        <v>#REF!</v>
      </c>
      <c r="D304" s="29"/>
      <c r="E304" s="15"/>
      <c r="F304" s="5" t="e">
        <f>+'Measurment 3rd floor'!#REF!</f>
        <v>#REF!</v>
      </c>
    </row>
    <row r="305" spans="1:6" ht="14.1" customHeight="1" x14ac:dyDescent="0.3">
      <c r="A305" s="29"/>
      <c r="B305" s="2" t="s">
        <v>49</v>
      </c>
      <c r="C305" s="2" t="e">
        <f>SUM(C294:C304)</f>
        <v>#REF!</v>
      </c>
      <c r="D305" s="29"/>
      <c r="E305" s="15"/>
      <c r="F305" s="5" t="e">
        <f>+'Measurment 3rd floor'!#REF!</f>
        <v>#REF!</v>
      </c>
    </row>
    <row r="306" spans="1:6" ht="14.1" customHeight="1" x14ac:dyDescent="0.3">
      <c r="A306" s="29"/>
      <c r="B306" s="15"/>
      <c r="C306" s="5"/>
      <c r="D306" s="29"/>
      <c r="E306" s="15"/>
      <c r="F306" s="5" t="e">
        <f>+'Measurment 3rd floor'!#REF!</f>
        <v>#REF!</v>
      </c>
    </row>
    <row r="307" spans="1:6" ht="14.1" customHeight="1" x14ac:dyDescent="0.3">
      <c r="A307" s="29">
        <f>+A294+1</f>
        <v>20</v>
      </c>
      <c r="B307" s="7" t="s">
        <v>84</v>
      </c>
      <c r="C307" s="5">
        <f>+'Measurment 3rd floor'!G116</f>
        <v>0</v>
      </c>
      <c r="D307" s="29"/>
      <c r="E307" s="15"/>
      <c r="F307" s="5" t="e">
        <f>+'Measurment 3rd floor'!#REF!</f>
        <v>#REF!</v>
      </c>
    </row>
    <row r="308" spans="1:6" ht="14.1" customHeight="1" x14ac:dyDescent="0.3">
      <c r="A308" s="29"/>
      <c r="B308" s="15" t="s">
        <v>83</v>
      </c>
      <c r="C308" s="5">
        <f>+'Measurment 3rd floor'!G567</f>
        <v>0</v>
      </c>
      <c r="D308" s="29"/>
      <c r="E308" s="15"/>
      <c r="F308" s="5" t="e">
        <f>+'Measurment 3rd floor'!#REF!</f>
        <v>#REF!</v>
      </c>
    </row>
    <row r="309" spans="1:6" ht="14.1" customHeight="1" x14ac:dyDescent="0.3">
      <c r="A309" s="29"/>
      <c r="B309" s="15"/>
      <c r="C309" s="5" t="e">
        <f>+'Measurment 3rd floor'!#REF!</f>
        <v>#REF!</v>
      </c>
      <c r="D309" s="29"/>
      <c r="E309" s="15"/>
      <c r="F309" s="5" t="e">
        <f>+'Measurment 3rd floor'!#REF!</f>
        <v>#REF!</v>
      </c>
    </row>
    <row r="310" spans="1:6" ht="14.1" customHeight="1" x14ac:dyDescent="0.3">
      <c r="A310" s="29"/>
      <c r="B310" s="15"/>
      <c r="C310" s="5" t="e">
        <f>+'Measurment 3rd floor'!#REF!</f>
        <v>#REF!</v>
      </c>
      <c r="D310" s="29"/>
      <c r="E310" s="15"/>
      <c r="F310" s="5" t="e">
        <f>+'Measurment 3rd floor'!#REF!</f>
        <v>#REF!</v>
      </c>
    </row>
    <row r="311" spans="1:6" ht="14.1" customHeight="1" x14ac:dyDescent="0.3">
      <c r="A311" s="29"/>
      <c r="B311" s="15"/>
      <c r="C311" s="5" t="e">
        <f>+'Measurment 3rd floor'!#REF!</f>
        <v>#REF!</v>
      </c>
      <c r="D311" s="29"/>
      <c r="E311" s="15"/>
      <c r="F311" s="5" t="e">
        <f>+'Measurment 3rd floor'!#REF!</f>
        <v>#REF!</v>
      </c>
    </row>
    <row r="312" spans="1:6" ht="14.1" customHeight="1" x14ac:dyDescent="0.3">
      <c r="A312" s="29"/>
      <c r="B312" s="15"/>
      <c r="C312" s="5" t="e">
        <f>+'Measurment 3rd floor'!#REF!</f>
        <v>#REF!</v>
      </c>
      <c r="D312" s="29"/>
      <c r="E312" s="15"/>
      <c r="F312" s="5" t="e">
        <f>+'Measurment 3rd floor'!#REF!</f>
        <v>#REF!</v>
      </c>
    </row>
    <row r="313" spans="1:6" ht="14.1" customHeight="1" x14ac:dyDescent="0.3">
      <c r="A313" s="29"/>
      <c r="B313" s="15"/>
      <c r="C313" s="5" t="e">
        <f>+'Measurment 3rd floor'!#REF!</f>
        <v>#REF!</v>
      </c>
      <c r="D313" s="29"/>
      <c r="E313" s="15"/>
      <c r="F313" s="5" t="e">
        <f>+'Measurment 3rd floor'!#REF!</f>
        <v>#REF!</v>
      </c>
    </row>
    <row r="314" spans="1:6" ht="14.1" customHeight="1" x14ac:dyDescent="0.3">
      <c r="A314" s="29"/>
      <c r="B314" s="15"/>
      <c r="C314" s="5" t="e">
        <f>+'Measurment 3rd floor'!#REF!</f>
        <v>#REF!</v>
      </c>
      <c r="D314" s="29"/>
      <c r="E314" s="2" t="s">
        <v>49</v>
      </c>
      <c r="F314" s="2" t="e">
        <f>SUM(F284:F313)</f>
        <v>#REF!</v>
      </c>
    </row>
    <row r="315" spans="1:6" ht="14.1" customHeight="1" x14ac:dyDescent="0.3">
      <c r="A315" s="29"/>
      <c r="B315" s="15"/>
      <c r="C315" s="5" t="e">
        <f>+'Measurment 3rd floor'!#REF!</f>
        <v>#REF!</v>
      </c>
      <c r="D315" s="29"/>
      <c r="E315" s="15"/>
      <c r="F315" s="5"/>
    </row>
    <row r="316" spans="1:6" ht="14.1" customHeight="1" x14ac:dyDescent="0.3">
      <c r="A316" s="29"/>
      <c r="B316" s="15"/>
      <c r="C316" s="5" t="e">
        <f>+'Measurment 3rd floor'!#REF!</f>
        <v>#REF!</v>
      </c>
      <c r="D316" s="29">
        <f>+D284+1</f>
        <v>26</v>
      </c>
      <c r="E316" s="7" t="s">
        <v>37</v>
      </c>
      <c r="F316" s="5">
        <f>+'Measurment 3rd floor'!G454:G454</f>
        <v>0</v>
      </c>
    </row>
    <row r="317" spans="1:6" ht="14.1" customHeight="1" x14ac:dyDescent="0.3">
      <c r="A317" s="29"/>
      <c r="B317" s="15"/>
      <c r="C317" s="5" t="e">
        <f>+'Measurment 3rd floor'!#REF!</f>
        <v>#REF!</v>
      </c>
      <c r="D317" s="29"/>
      <c r="E317" s="15"/>
      <c r="F317" s="5" t="e">
        <f>+'Measurment 3rd floor'!#REF!</f>
        <v>#REF!</v>
      </c>
    </row>
    <row r="318" spans="1:6" ht="14.1" customHeight="1" x14ac:dyDescent="0.3">
      <c r="A318" s="29"/>
      <c r="B318" s="2" t="s">
        <v>49</v>
      </c>
      <c r="C318" s="2" t="e">
        <f>SUM(C307:C317)</f>
        <v>#REF!</v>
      </c>
      <c r="D318" s="29"/>
      <c r="E318" s="15"/>
      <c r="F318" s="5" t="e">
        <f>+'Measurment 3rd floor'!#REF!</f>
        <v>#REF!</v>
      </c>
    </row>
    <row r="319" spans="1:6" ht="14.1" customHeight="1" x14ac:dyDescent="0.3">
      <c r="A319" s="29"/>
      <c r="B319" s="2"/>
      <c r="C319" s="2"/>
      <c r="D319" s="29"/>
      <c r="E319" s="15"/>
      <c r="F319" s="5" t="e">
        <f>+'Measurment 3rd floor'!#REF!</f>
        <v>#REF!</v>
      </c>
    </row>
    <row r="320" spans="1:6" ht="14.1" customHeight="1" x14ac:dyDescent="0.3">
      <c r="A320" s="29">
        <f>+A307+1</f>
        <v>21</v>
      </c>
      <c r="B320" s="15" t="s">
        <v>42</v>
      </c>
      <c r="C320" s="2" t="e">
        <f>+'Measurment 3rd floor'!#REF!</f>
        <v>#REF!</v>
      </c>
      <c r="D320" s="29"/>
      <c r="E320" s="15"/>
      <c r="F320" s="5" t="e">
        <f>+'Measurment 3rd floor'!#REF!</f>
        <v>#REF!</v>
      </c>
    </row>
    <row r="321" spans="1:6" ht="14.1" customHeight="1" x14ac:dyDescent="0.3">
      <c r="A321" s="29"/>
      <c r="B321" s="15"/>
      <c r="C321" s="5"/>
      <c r="D321" s="29"/>
      <c r="E321" s="15"/>
      <c r="F321" s="5" t="e">
        <f>+'Measurment 3rd floor'!#REF!</f>
        <v>#REF!</v>
      </c>
    </row>
    <row r="322" spans="1:6" ht="14.1" customHeight="1" x14ac:dyDescent="0.3">
      <c r="A322" s="29">
        <f>+A320+1</f>
        <v>22</v>
      </c>
      <c r="B322" s="7" t="s">
        <v>44</v>
      </c>
      <c r="C322" s="2" t="e">
        <f>+'Measurment 3rd floor'!#REF!</f>
        <v>#REF!</v>
      </c>
      <c r="D322" s="29"/>
      <c r="E322" s="15"/>
      <c r="F322" s="5" t="e">
        <f>+'Measurment 3rd floor'!#REF!</f>
        <v>#REF!</v>
      </c>
    </row>
    <row r="323" spans="1:6" ht="14.1" customHeight="1" x14ac:dyDescent="0.3">
      <c r="A323" s="29"/>
      <c r="B323" s="15"/>
      <c r="C323" s="5"/>
      <c r="D323" s="29"/>
      <c r="E323" s="15"/>
      <c r="F323" s="5" t="e">
        <f>+'Measurment 3rd floor'!#REF!</f>
        <v>#REF!</v>
      </c>
    </row>
    <row r="324" spans="1:6" ht="14.1" customHeight="1" x14ac:dyDescent="0.3">
      <c r="A324" s="29"/>
      <c r="B324" s="15"/>
      <c r="C324" s="5"/>
      <c r="D324" s="29"/>
      <c r="E324" s="15"/>
      <c r="F324" s="5" t="e">
        <f>+'Measurment 3rd floor'!#REF!</f>
        <v>#REF!</v>
      </c>
    </row>
    <row r="325" spans="1:6" ht="14.1" customHeight="1" x14ac:dyDescent="0.3">
      <c r="A325" s="29">
        <f>+A322+1</f>
        <v>23</v>
      </c>
      <c r="B325" s="7" t="s">
        <v>43</v>
      </c>
      <c r="C325" s="5" t="e">
        <f>+'Measurment 3rd floor'!#REF!</f>
        <v>#REF!</v>
      </c>
      <c r="D325" s="29"/>
      <c r="E325" s="15"/>
      <c r="F325" s="5" t="e">
        <f>+'Measurment 3rd floor'!#REF!</f>
        <v>#REF!</v>
      </c>
    </row>
    <row r="326" spans="1:6" ht="14.1" customHeight="1" x14ac:dyDescent="0.3">
      <c r="A326" s="29"/>
      <c r="B326" s="15"/>
      <c r="C326" s="5" t="e">
        <f>+'Measurment 3rd floor'!#REF!</f>
        <v>#REF!</v>
      </c>
      <c r="D326" s="29"/>
      <c r="E326" s="15"/>
      <c r="F326" s="5" t="e">
        <f>+'Measurment 3rd floor'!#REF!</f>
        <v>#REF!</v>
      </c>
    </row>
    <row r="327" spans="1:6" ht="14.1" customHeight="1" x14ac:dyDescent="0.3">
      <c r="A327" s="29"/>
      <c r="B327" s="2" t="s">
        <v>49</v>
      </c>
      <c r="C327" s="2" t="e">
        <f>SUM(C325:C326)</f>
        <v>#REF!</v>
      </c>
      <c r="D327" s="29"/>
      <c r="E327" s="2" t="s">
        <v>49</v>
      </c>
      <c r="F327" s="2" t="e">
        <f>SUM(F316:F326)</f>
        <v>#REF!</v>
      </c>
    </row>
    <row r="328" spans="1:6" ht="14.1" customHeight="1" x14ac:dyDescent="0.3">
      <c r="A328" s="29"/>
      <c r="B328" s="15"/>
      <c r="C328" s="5"/>
      <c r="D328" s="29"/>
      <c r="E328" s="15"/>
      <c r="F328" s="5"/>
    </row>
    <row r="329" spans="1:6" ht="14.1" customHeight="1" x14ac:dyDescent="0.3">
      <c r="A329" s="29"/>
      <c r="B329" s="15"/>
      <c r="C329" s="5"/>
      <c r="D329" s="29">
        <f>+D316+1</f>
        <v>27</v>
      </c>
      <c r="E329" s="7" t="s">
        <v>46</v>
      </c>
      <c r="F329" s="2" t="e">
        <f>+'Measurment 3rd floor'!#REF!</f>
        <v>#REF!</v>
      </c>
    </row>
    <row r="330" spans="1:6" ht="14.1" customHeight="1" x14ac:dyDescent="0.3">
      <c r="A330" s="29"/>
      <c r="B330" s="15"/>
      <c r="C330" s="5"/>
      <c r="D330" s="29"/>
      <c r="E330" s="15"/>
      <c r="F330" s="5"/>
    </row>
    <row r="331" spans="1:6" ht="14.1" customHeight="1" x14ac:dyDescent="0.3">
      <c r="A331" s="29"/>
      <c r="B331" s="15"/>
      <c r="C331" s="5"/>
      <c r="D331" s="29">
        <f>+D329+1</f>
        <v>28</v>
      </c>
      <c r="E331" s="7" t="s">
        <v>47</v>
      </c>
      <c r="F331" s="2" t="e">
        <f>+'Measurment 3rd floor'!#REF!</f>
        <v>#REF!</v>
      </c>
    </row>
    <row r="332" spans="1:6" ht="14.1" customHeight="1" x14ac:dyDescent="0.3">
      <c r="A332" s="29"/>
      <c r="B332" s="15"/>
      <c r="C332" s="5"/>
      <c r="D332" s="29"/>
      <c r="E332" s="7"/>
      <c r="F332" s="2"/>
    </row>
    <row r="333" spans="1:6" ht="14.1" customHeight="1" x14ac:dyDescent="0.3">
      <c r="A333" s="29"/>
      <c r="B333" s="15"/>
      <c r="C333" s="5"/>
      <c r="D333" s="29"/>
      <c r="E333" s="7"/>
      <c r="F333" s="2"/>
    </row>
    <row r="334" spans="1:6" ht="13.5" customHeight="1" x14ac:dyDescent="0.3">
      <c r="A334" s="29"/>
      <c r="B334" s="15"/>
      <c r="C334" s="5"/>
      <c r="D334" s="29"/>
      <c r="E334" s="7"/>
      <c r="F334" s="2"/>
    </row>
    <row r="335" spans="1:6" ht="13.5" customHeight="1" x14ac:dyDescent="0.3">
      <c r="A335" s="29"/>
      <c r="B335" s="15"/>
      <c r="C335" s="5"/>
      <c r="D335" s="29"/>
      <c r="E335" s="15"/>
      <c r="F335" s="5"/>
    </row>
    <row r="336" spans="1:6" ht="13.5" customHeight="1" x14ac:dyDescent="0.3">
      <c r="A336" s="29">
        <f>+D331+1</f>
        <v>29</v>
      </c>
      <c r="B336" s="7" t="s">
        <v>38</v>
      </c>
      <c r="C336" s="5">
        <f>+'Measurment 3rd floor'!G456</f>
        <v>0</v>
      </c>
      <c r="D336" s="29">
        <f>+A380+1</f>
        <v>34</v>
      </c>
      <c r="E336" s="7" t="s">
        <v>28</v>
      </c>
      <c r="F336" s="5">
        <f>+'Measurment 3rd floor'!G166</f>
        <v>53.33</v>
      </c>
    </row>
    <row r="337" spans="1:6" ht="13.5" customHeight="1" x14ac:dyDescent="0.3">
      <c r="A337" s="29"/>
      <c r="B337" s="15"/>
      <c r="C337" s="5" t="e">
        <f>+'Measurment 3rd floor'!#REF!</f>
        <v>#REF!</v>
      </c>
      <c r="D337" s="29"/>
      <c r="E337" s="15"/>
      <c r="F337" s="5">
        <f>+'Measurment 3rd floor'!G317</f>
        <v>0</v>
      </c>
    </row>
    <row r="338" spans="1:6" ht="13.5" customHeight="1" x14ac:dyDescent="0.3">
      <c r="A338" s="29"/>
      <c r="B338" s="15"/>
      <c r="C338" s="5" t="e">
        <f>+'Measurment 3rd floor'!#REF!</f>
        <v>#REF!</v>
      </c>
      <c r="D338" s="29"/>
      <c r="E338" s="15"/>
      <c r="F338" s="5">
        <f>+'Measurment 3rd floor'!G405</f>
        <v>2.33</v>
      </c>
    </row>
    <row r="339" spans="1:6" ht="13.5" customHeight="1" x14ac:dyDescent="0.3">
      <c r="A339" s="29"/>
      <c r="B339" s="15"/>
      <c r="C339" s="5" t="e">
        <f>+'Measurment 3rd floor'!#REF!</f>
        <v>#REF!</v>
      </c>
      <c r="D339" s="29"/>
      <c r="E339" s="15"/>
      <c r="F339" s="5" t="e">
        <f>+'Measurment 3rd floor'!#REF!</f>
        <v>#REF!</v>
      </c>
    </row>
    <row r="340" spans="1:6" ht="13.5" customHeight="1" x14ac:dyDescent="0.3">
      <c r="A340" s="29"/>
      <c r="B340" s="15"/>
      <c r="C340" s="5" t="e">
        <f>+'Measurment 3rd floor'!#REF!</f>
        <v>#REF!</v>
      </c>
      <c r="D340" s="29"/>
      <c r="E340" s="15"/>
      <c r="F340" s="5" t="e">
        <f>+'Measurment 3rd floor'!#REF!</f>
        <v>#REF!</v>
      </c>
    </row>
    <row r="341" spans="1:6" ht="13.5" customHeight="1" x14ac:dyDescent="0.3">
      <c r="A341" s="29"/>
      <c r="B341" s="15"/>
      <c r="C341" s="5" t="e">
        <f>+'Measurment 3rd floor'!#REF!</f>
        <v>#REF!</v>
      </c>
      <c r="D341" s="29"/>
      <c r="E341" s="15"/>
      <c r="F341" s="5" t="e">
        <f>+'Measurment 3rd floor'!#REF!</f>
        <v>#REF!</v>
      </c>
    </row>
    <row r="342" spans="1:6" ht="13.5" customHeight="1" x14ac:dyDescent="0.3">
      <c r="A342" s="29"/>
      <c r="B342" s="15"/>
      <c r="C342" s="5" t="e">
        <f>+'Measurment 3rd floor'!#REF!</f>
        <v>#REF!</v>
      </c>
      <c r="D342" s="29"/>
      <c r="E342" s="15"/>
      <c r="F342" s="5" t="e">
        <f>+'Measurment 3rd floor'!#REF!</f>
        <v>#REF!</v>
      </c>
    </row>
    <row r="343" spans="1:6" ht="13.5" customHeight="1" x14ac:dyDescent="0.3">
      <c r="A343" s="29"/>
      <c r="B343" s="15"/>
      <c r="C343" s="5" t="e">
        <f>+'Measurment 3rd floor'!#REF!</f>
        <v>#REF!</v>
      </c>
      <c r="D343" s="29"/>
      <c r="E343" s="15"/>
      <c r="F343" s="5" t="e">
        <f>+'Measurment 3rd floor'!#REF!</f>
        <v>#REF!</v>
      </c>
    </row>
    <row r="344" spans="1:6" ht="13.5" customHeight="1" x14ac:dyDescent="0.3">
      <c r="A344" s="29"/>
      <c r="B344" s="15"/>
      <c r="C344" s="5" t="e">
        <f>+'Measurment 3rd floor'!#REF!</f>
        <v>#REF!</v>
      </c>
      <c r="D344" s="29"/>
      <c r="E344" s="15"/>
      <c r="F344" s="5" t="e">
        <f>+'Measurment 3rd floor'!#REF!</f>
        <v>#REF!</v>
      </c>
    </row>
    <row r="345" spans="1:6" ht="13.5" customHeight="1" x14ac:dyDescent="0.3">
      <c r="A345" s="29"/>
      <c r="B345" s="15"/>
      <c r="C345" s="5" t="e">
        <f>+'Measurment 3rd floor'!#REF!</f>
        <v>#REF!</v>
      </c>
      <c r="D345" s="29"/>
      <c r="E345" s="15"/>
      <c r="F345" s="5" t="e">
        <f>+'Measurment 3rd floor'!#REF!</f>
        <v>#REF!</v>
      </c>
    </row>
    <row r="346" spans="1:6" ht="13.5" customHeight="1" x14ac:dyDescent="0.3">
      <c r="A346" s="29"/>
      <c r="B346" s="15"/>
      <c r="C346" s="5" t="e">
        <f>+'Measurment 3rd floor'!#REF!</f>
        <v>#REF!</v>
      </c>
      <c r="D346" s="29"/>
      <c r="E346" s="15"/>
      <c r="F346" s="5" t="e">
        <f>+'Measurment 3rd floor'!#REF!</f>
        <v>#REF!</v>
      </c>
    </row>
    <row r="347" spans="1:6" ht="13.5" customHeight="1" x14ac:dyDescent="0.3">
      <c r="A347" s="29"/>
      <c r="B347" s="2" t="s">
        <v>49</v>
      </c>
      <c r="C347" s="2" t="e">
        <f>SUM(C336:C346)</f>
        <v>#REF!</v>
      </c>
      <c r="D347" s="29"/>
      <c r="E347" s="15"/>
      <c r="F347" s="5" t="e">
        <f>+'Measurment 3rd floor'!#REF!</f>
        <v>#REF!</v>
      </c>
    </row>
    <row r="348" spans="1:6" ht="13.5" customHeight="1" x14ac:dyDescent="0.3">
      <c r="A348" s="29"/>
      <c r="B348" s="15"/>
      <c r="C348" s="5"/>
      <c r="D348" s="29"/>
      <c r="E348" s="15"/>
      <c r="F348" s="5" t="e">
        <f>+'Measurment 3rd floor'!#REF!</f>
        <v>#REF!</v>
      </c>
    </row>
    <row r="349" spans="1:6" ht="13.5" customHeight="1" x14ac:dyDescent="0.3">
      <c r="A349" s="29">
        <f>+A336+1</f>
        <v>30</v>
      </c>
      <c r="B349" s="7" t="s">
        <v>39</v>
      </c>
      <c r="C349" s="5">
        <f>+'Measurment 3rd floor'!G461</f>
        <v>33.36</v>
      </c>
      <c r="D349" s="29"/>
      <c r="E349" s="15"/>
      <c r="F349" s="5" t="e">
        <f>+'Measurment 3rd floor'!#REF!</f>
        <v>#REF!</v>
      </c>
    </row>
    <row r="350" spans="1:6" ht="13.5" customHeight="1" x14ac:dyDescent="0.3">
      <c r="A350" s="29"/>
      <c r="B350" s="15"/>
      <c r="C350" s="5" t="e">
        <f>+'Measurment 3rd floor'!#REF!</f>
        <v>#REF!</v>
      </c>
      <c r="D350" s="29"/>
      <c r="E350" s="15"/>
      <c r="F350" s="5" t="e">
        <f>+'Measurment 3rd floor'!#REF!</f>
        <v>#REF!</v>
      </c>
    </row>
    <row r="351" spans="1:6" ht="13.5" customHeight="1" x14ac:dyDescent="0.3">
      <c r="A351" s="29"/>
      <c r="B351" s="15"/>
      <c r="C351" s="5" t="e">
        <f>+'Measurment 3rd floor'!#REF!</f>
        <v>#REF!</v>
      </c>
      <c r="D351" s="29"/>
      <c r="E351" s="15"/>
      <c r="F351" s="5" t="e">
        <f>+'Measurment 3rd floor'!#REF!</f>
        <v>#REF!</v>
      </c>
    </row>
    <row r="352" spans="1:6" ht="13.5" customHeight="1" x14ac:dyDescent="0.3">
      <c r="A352" s="29"/>
      <c r="B352" s="15"/>
      <c r="C352" s="5" t="e">
        <f>+'Measurment 3rd floor'!#REF!</f>
        <v>#REF!</v>
      </c>
      <c r="D352" s="29"/>
      <c r="E352" s="15"/>
      <c r="F352" s="5" t="e">
        <f>+'Measurment 3rd floor'!#REF!</f>
        <v>#REF!</v>
      </c>
    </row>
    <row r="353" spans="1:6" ht="13.5" customHeight="1" x14ac:dyDescent="0.3">
      <c r="A353" s="29"/>
      <c r="B353" s="15"/>
      <c r="C353" s="5" t="e">
        <f>+'Measurment 3rd floor'!#REF!</f>
        <v>#REF!</v>
      </c>
      <c r="D353" s="29"/>
      <c r="E353" s="15"/>
      <c r="F353" s="5" t="e">
        <f>+'Measurment 3rd floor'!#REF!</f>
        <v>#REF!</v>
      </c>
    </row>
    <row r="354" spans="1:6" ht="13.5" customHeight="1" x14ac:dyDescent="0.3">
      <c r="A354" s="29"/>
      <c r="B354" s="15"/>
      <c r="C354" s="5" t="e">
        <f>+'Measurment 3rd floor'!#REF!</f>
        <v>#REF!</v>
      </c>
      <c r="D354" s="29"/>
      <c r="E354" s="15"/>
      <c r="F354" s="5" t="e">
        <f>+'Measurment 3rd floor'!#REF!</f>
        <v>#REF!</v>
      </c>
    </row>
    <row r="355" spans="1:6" ht="13.5" customHeight="1" x14ac:dyDescent="0.3">
      <c r="A355" s="29"/>
      <c r="B355" s="15"/>
      <c r="C355" s="5" t="e">
        <f>+'Measurment 3rd floor'!#REF!</f>
        <v>#REF!</v>
      </c>
      <c r="D355" s="29"/>
      <c r="E355" s="15"/>
      <c r="F355" s="5" t="e">
        <f>+'Measurment 3rd floor'!#REF!</f>
        <v>#REF!</v>
      </c>
    </row>
    <row r="356" spans="1:6" ht="13.5" customHeight="1" x14ac:dyDescent="0.3">
      <c r="A356" s="29"/>
      <c r="B356" s="15"/>
      <c r="C356" s="5" t="e">
        <f>+'Measurment 3rd floor'!#REF!</f>
        <v>#REF!</v>
      </c>
      <c r="D356" s="29"/>
      <c r="E356" s="15"/>
      <c r="F356" s="5" t="e">
        <f>+'Measurment 3rd floor'!#REF!</f>
        <v>#REF!</v>
      </c>
    </row>
    <row r="357" spans="1:6" ht="13.5" customHeight="1" x14ac:dyDescent="0.3">
      <c r="A357" s="29"/>
      <c r="B357" s="15"/>
      <c r="C357" s="5" t="e">
        <f>+'Measurment 3rd floor'!#REF!</f>
        <v>#REF!</v>
      </c>
      <c r="D357" s="29"/>
      <c r="E357" s="15"/>
      <c r="F357" s="5" t="e">
        <f>+'Measurment 3rd floor'!#REF!</f>
        <v>#REF!</v>
      </c>
    </row>
    <row r="358" spans="1:6" ht="13.5" customHeight="1" x14ac:dyDescent="0.3">
      <c r="A358" s="29"/>
      <c r="B358" s="15"/>
      <c r="C358" s="5" t="e">
        <f>+'Measurment 3rd floor'!#REF!</f>
        <v>#REF!</v>
      </c>
      <c r="D358" s="29"/>
      <c r="E358" s="15"/>
      <c r="F358" s="5" t="e">
        <f>+'Measurment 3rd floor'!#REF!</f>
        <v>#REF!</v>
      </c>
    </row>
    <row r="359" spans="1:6" ht="13.5" customHeight="1" x14ac:dyDescent="0.3">
      <c r="A359" s="29"/>
      <c r="B359" s="15"/>
      <c r="C359" s="5" t="e">
        <f>+'Measurment 3rd floor'!#REF!</f>
        <v>#REF!</v>
      </c>
      <c r="D359" s="29"/>
      <c r="E359" s="15"/>
      <c r="F359" s="5" t="e">
        <f>+'Measurment 3rd floor'!#REF!</f>
        <v>#REF!</v>
      </c>
    </row>
    <row r="360" spans="1:6" ht="13.5" customHeight="1" x14ac:dyDescent="0.3">
      <c r="A360" s="29"/>
      <c r="B360" s="2" t="s">
        <v>49</v>
      </c>
      <c r="C360" s="2" t="e">
        <f>SUM(C349:C359)</f>
        <v>#REF!</v>
      </c>
      <c r="D360" s="29"/>
      <c r="E360" s="15"/>
      <c r="F360" s="5" t="e">
        <f>+'Measurment 3rd floor'!#REF!</f>
        <v>#REF!</v>
      </c>
    </row>
    <row r="361" spans="1:6" ht="13.5" customHeight="1" x14ac:dyDescent="0.3">
      <c r="A361" s="29"/>
      <c r="B361" s="15"/>
      <c r="C361" s="5"/>
      <c r="D361" s="29"/>
      <c r="E361" s="15"/>
      <c r="F361" s="5" t="e">
        <f>+'Measurment 3rd floor'!#REF!</f>
        <v>#REF!</v>
      </c>
    </row>
    <row r="362" spans="1:6" ht="13.5" customHeight="1" x14ac:dyDescent="0.3">
      <c r="A362" s="29">
        <f>+A349+1</f>
        <v>31</v>
      </c>
      <c r="B362" s="7" t="s">
        <v>31</v>
      </c>
      <c r="C362" s="5">
        <f>+'Measurment 3rd floor'!G233</f>
        <v>47</v>
      </c>
      <c r="D362" s="29"/>
      <c r="E362" s="15"/>
      <c r="F362" s="5" t="e">
        <f>+'Measurment 3rd floor'!#REF!</f>
        <v>#REF!</v>
      </c>
    </row>
    <row r="363" spans="1:6" ht="13.5" customHeight="1" x14ac:dyDescent="0.3">
      <c r="A363" s="29"/>
      <c r="B363" s="15"/>
      <c r="C363" s="5" t="e">
        <f>+'Measurment 3rd floor'!#REF!</f>
        <v>#REF!</v>
      </c>
      <c r="D363" s="29"/>
      <c r="E363" s="15"/>
      <c r="F363" s="5" t="e">
        <f>+'Measurment 3rd floor'!#REF!</f>
        <v>#REF!</v>
      </c>
    </row>
    <row r="364" spans="1:6" ht="13.5" customHeight="1" x14ac:dyDescent="0.3">
      <c r="A364" s="29"/>
      <c r="B364" s="15"/>
      <c r="C364" s="5" t="e">
        <f>+'Measurment 3rd floor'!#REF!</f>
        <v>#REF!</v>
      </c>
      <c r="D364" s="29"/>
      <c r="E364" s="15"/>
      <c r="F364" s="5" t="e">
        <f>+'Measurment 3rd floor'!#REF!</f>
        <v>#REF!</v>
      </c>
    </row>
    <row r="365" spans="1:6" ht="13.5" customHeight="1" x14ac:dyDescent="0.3">
      <c r="A365" s="29"/>
      <c r="B365" s="15"/>
      <c r="C365" s="5" t="e">
        <f>+'Measurment 3rd floor'!#REF!</f>
        <v>#REF!</v>
      </c>
      <c r="D365" s="29"/>
      <c r="E365" s="15"/>
      <c r="F365" s="5" t="e">
        <f>+'Measurment 3rd floor'!#REF!</f>
        <v>#REF!</v>
      </c>
    </row>
    <row r="366" spans="1:6" ht="13.5" customHeight="1" x14ac:dyDescent="0.3">
      <c r="A366" s="29"/>
      <c r="B366" s="15"/>
      <c r="C366" s="5" t="e">
        <f>+'Measurment 3rd floor'!#REF!</f>
        <v>#REF!</v>
      </c>
      <c r="D366" s="29"/>
      <c r="E366" s="15"/>
      <c r="F366" s="5" t="e">
        <f>+'Measurment 3rd floor'!#REF!</f>
        <v>#REF!</v>
      </c>
    </row>
    <row r="367" spans="1:6" ht="13.5" customHeight="1" x14ac:dyDescent="0.3">
      <c r="A367" s="29"/>
      <c r="B367" s="15"/>
      <c r="C367" s="5" t="e">
        <f>+'Measurment 3rd floor'!#REF!</f>
        <v>#REF!</v>
      </c>
      <c r="D367" s="29"/>
      <c r="E367" s="15"/>
      <c r="F367" s="5" t="e">
        <f>+'Measurment 3rd floor'!#REF!</f>
        <v>#REF!</v>
      </c>
    </row>
    <row r="368" spans="1:6" ht="13.5" customHeight="1" x14ac:dyDescent="0.3">
      <c r="A368" s="29"/>
      <c r="B368" s="15"/>
      <c r="C368" s="5" t="e">
        <f>+'Measurment 3rd floor'!#REF!</f>
        <v>#REF!</v>
      </c>
      <c r="D368" s="29"/>
      <c r="E368" s="2" t="s">
        <v>49</v>
      </c>
      <c r="F368" s="2" t="e">
        <f>SUM(F336:F367)</f>
        <v>#REF!</v>
      </c>
    </row>
    <row r="369" spans="1:6" ht="13.5" customHeight="1" x14ac:dyDescent="0.3">
      <c r="A369" s="29"/>
      <c r="B369" s="15"/>
      <c r="C369" s="5" t="e">
        <f>+'Measurment 3rd floor'!#REF!</f>
        <v>#REF!</v>
      </c>
      <c r="D369" s="29"/>
      <c r="E369" s="15"/>
      <c r="F369" s="5"/>
    </row>
    <row r="370" spans="1:6" ht="13.5" customHeight="1" x14ac:dyDescent="0.3">
      <c r="A370" s="29"/>
      <c r="B370" s="15"/>
      <c r="C370" s="5" t="e">
        <f>+'Measurment 3rd floor'!#REF!</f>
        <v>#REF!</v>
      </c>
      <c r="D370" s="29">
        <f>+D336+1</f>
        <v>35</v>
      </c>
      <c r="E370" s="7" t="s">
        <v>41</v>
      </c>
      <c r="F370" s="5" t="e">
        <f>+'Measurment 3rd floor'!#REF!</f>
        <v>#REF!</v>
      </c>
    </row>
    <row r="371" spans="1:6" ht="13.5" customHeight="1" x14ac:dyDescent="0.3">
      <c r="A371" s="29"/>
      <c r="B371" s="15"/>
      <c r="C371" s="5" t="e">
        <f>+'Measurment 3rd floor'!#REF!</f>
        <v>#REF!</v>
      </c>
      <c r="D371" s="29"/>
      <c r="E371" s="7"/>
      <c r="F371" s="5" t="e">
        <f>+'Measurment 3rd floor'!#REF!</f>
        <v>#REF!</v>
      </c>
    </row>
    <row r="372" spans="1:6" ht="13.5" customHeight="1" x14ac:dyDescent="0.3">
      <c r="A372" s="29"/>
      <c r="B372" s="15"/>
      <c r="C372" s="5" t="e">
        <f>+'Measurment 3rd floor'!#REF!</f>
        <v>#REF!</v>
      </c>
      <c r="D372" s="29"/>
      <c r="E372" s="7"/>
      <c r="F372" s="5" t="e">
        <f>+'Measurment 3rd floor'!#REF!</f>
        <v>#REF!</v>
      </c>
    </row>
    <row r="373" spans="1:6" ht="13.5" customHeight="1" x14ac:dyDescent="0.3">
      <c r="A373" s="29"/>
      <c r="B373" s="15"/>
      <c r="C373" s="5" t="e">
        <f>+'Measurment 3rd floor'!#REF!</f>
        <v>#REF!</v>
      </c>
      <c r="D373" s="29"/>
      <c r="E373" s="7"/>
      <c r="F373" s="5" t="e">
        <f>+'Measurment 3rd floor'!#REF!</f>
        <v>#REF!</v>
      </c>
    </row>
    <row r="374" spans="1:6" ht="13.5" customHeight="1" x14ac:dyDescent="0.3">
      <c r="A374" s="29"/>
      <c r="B374" s="2" t="s">
        <v>49</v>
      </c>
      <c r="C374" s="2" t="e">
        <f>SUM(C362:C373)</f>
        <v>#REF!</v>
      </c>
      <c r="D374" s="29"/>
      <c r="E374" s="15"/>
      <c r="F374" s="5" t="e">
        <f>+'Measurment 3rd floor'!#REF!</f>
        <v>#REF!</v>
      </c>
    </row>
    <row r="375" spans="1:6" ht="13.5" customHeight="1" x14ac:dyDescent="0.3">
      <c r="A375" s="29"/>
      <c r="B375" s="15"/>
      <c r="C375" s="5"/>
      <c r="D375" s="29"/>
      <c r="E375" s="15"/>
      <c r="F375" s="5" t="e">
        <f>+'Measurment 3rd floor'!#REF!</f>
        <v>#REF!</v>
      </c>
    </row>
    <row r="376" spans="1:6" ht="13.5" customHeight="1" x14ac:dyDescent="0.3">
      <c r="A376" s="29">
        <f>+A362+1</f>
        <v>32</v>
      </c>
      <c r="B376" s="7" t="s">
        <v>33</v>
      </c>
      <c r="C376" s="5">
        <f>+'Measurment 3rd floor'!G408</f>
        <v>108.05</v>
      </c>
      <c r="D376" s="29"/>
      <c r="E376" s="15"/>
      <c r="F376" s="5" t="e">
        <f>+'Measurment 3rd floor'!#REF!</f>
        <v>#REF!</v>
      </c>
    </row>
    <row r="377" spans="1:6" ht="13.5" customHeight="1" x14ac:dyDescent="0.3">
      <c r="A377" s="29"/>
      <c r="B377" s="15"/>
      <c r="C377" s="5" t="e">
        <f>+'Measurment 3rd floor'!#REF!</f>
        <v>#REF!</v>
      </c>
      <c r="D377" s="29"/>
      <c r="E377" s="15"/>
      <c r="F377" s="5" t="e">
        <f>+'Measurment 3rd floor'!#REF!</f>
        <v>#REF!</v>
      </c>
    </row>
    <row r="378" spans="1:6" ht="13.5" customHeight="1" x14ac:dyDescent="0.3">
      <c r="A378" s="29"/>
      <c r="B378" s="2" t="s">
        <v>49</v>
      </c>
      <c r="C378" s="2" t="e">
        <f>SUM(C376:C377)</f>
        <v>#REF!</v>
      </c>
      <c r="D378" s="29"/>
      <c r="E378" s="2" t="s">
        <v>49</v>
      </c>
      <c r="F378" s="2" t="e">
        <f>SUM(F370:F377)</f>
        <v>#REF!</v>
      </c>
    </row>
    <row r="379" spans="1:6" ht="13.5" customHeight="1" x14ac:dyDescent="0.3">
      <c r="A379" s="29"/>
      <c r="B379" s="15"/>
      <c r="C379" s="2"/>
      <c r="D379" s="29"/>
      <c r="E379" s="15"/>
      <c r="F379" s="5"/>
    </row>
    <row r="380" spans="1:6" ht="13.5" customHeight="1" x14ac:dyDescent="0.3">
      <c r="A380" s="29">
        <f>+A376+1</f>
        <v>33</v>
      </c>
      <c r="B380" s="7" t="s">
        <v>32</v>
      </c>
      <c r="C380" s="5">
        <f>+'Measurment 3rd floor'!G291</f>
        <v>0</v>
      </c>
      <c r="D380" s="29">
        <f>+D370+1</f>
        <v>36</v>
      </c>
      <c r="E380" s="7" t="s">
        <v>58</v>
      </c>
      <c r="F380" s="5">
        <f>+'Measurment 3rd floor'!G150</f>
        <v>0</v>
      </c>
    </row>
    <row r="381" spans="1:6" ht="13.5" customHeight="1" x14ac:dyDescent="0.3">
      <c r="A381" s="29"/>
      <c r="B381" s="15"/>
      <c r="C381" s="5" t="e">
        <f>+'Measurment 3rd floor'!#REF!</f>
        <v>#REF!</v>
      </c>
      <c r="D381" s="29"/>
      <c r="E381" s="15"/>
      <c r="F381" s="5">
        <f>+'Measurment 3rd floor'!G603</f>
        <v>4.75</v>
      </c>
    </row>
    <row r="382" spans="1:6" ht="13.5" customHeight="1" x14ac:dyDescent="0.3">
      <c r="A382" s="29"/>
      <c r="B382" s="15"/>
      <c r="C382" s="5" t="e">
        <f>+'Measurment 3rd floor'!#REF!</f>
        <v>#REF!</v>
      </c>
      <c r="D382" s="29"/>
      <c r="E382" s="15"/>
      <c r="F382" s="5" t="e">
        <f>+'Measurment 3rd floor'!#REF!</f>
        <v>#REF!</v>
      </c>
    </row>
    <row r="383" spans="1:6" ht="13.5" customHeight="1" x14ac:dyDescent="0.3">
      <c r="A383" s="29"/>
      <c r="B383" s="15"/>
      <c r="C383" s="5" t="e">
        <f>+'Measurment 3rd floor'!#REF!</f>
        <v>#REF!</v>
      </c>
      <c r="D383" s="29"/>
      <c r="E383" s="15"/>
      <c r="F383" s="5" t="e">
        <f>+'Measurment 3rd floor'!#REF!</f>
        <v>#REF!</v>
      </c>
    </row>
    <row r="384" spans="1:6" ht="13.5" customHeight="1" x14ac:dyDescent="0.3">
      <c r="A384" s="29"/>
      <c r="B384" s="15"/>
      <c r="C384" s="5" t="e">
        <f>+'Measurment 3rd floor'!#REF!</f>
        <v>#REF!</v>
      </c>
      <c r="D384" s="29"/>
      <c r="E384" s="15"/>
      <c r="F384" s="5" t="e">
        <f>+'Measurment 3rd floor'!#REF!</f>
        <v>#REF!</v>
      </c>
    </row>
    <row r="385" spans="1:6" ht="13.5" customHeight="1" x14ac:dyDescent="0.3">
      <c r="A385" s="29"/>
      <c r="B385" s="15"/>
      <c r="C385" s="5" t="e">
        <f>+'Measurment 3rd floor'!#REF!</f>
        <v>#REF!</v>
      </c>
      <c r="D385" s="29"/>
      <c r="E385" s="15"/>
      <c r="F385" s="5" t="e">
        <f>+'Measurment 3rd floor'!#REF!</f>
        <v>#REF!</v>
      </c>
    </row>
    <row r="386" spans="1:6" ht="13.5" customHeight="1" x14ac:dyDescent="0.3">
      <c r="A386" s="29"/>
      <c r="B386" s="15"/>
      <c r="C386" s="5" t="e">
        <f>+'Measurment 3rd floor'!#REF!</f>
        <v>#REF!</v>
      </c>
      <c r="D386" s="29"/>
      <c r="E386" s="15"/>
      <c r="F386" s="5" t="e">
        <f>+'Measurment 3rd floor'!#REF!</f>
        <v>#REF!</v>
      </c>
    </row>
    <row r="387" spans="1:6" ht="13.5" customHeight="1" x14ac:dyDescent="0.3">
      <c r="A387" s="29"/>
      <c r="B387" s="15"/>
      <c r="C387" s="5" t="e">
        <f>+'Measurment 3rd floor'!#REF!</f>
        <v>#REF!</v>
      </c>
      <c r="D387" s="29"/>
      <c r="E387" s="15"/>
      <c r="F387" s="5" t="e">
        <f>+'Measurment 3rd floor'!#REF!</f>
        <v>#REF!</v>
      </c>
    </row>
    <row r="388" spans="1:6" ht="13.5" customHeight="1" x14ac:dyDescent="0.3">
      <c r="A388" s="29"/>
      <c r="B388" s="15"/>
      <c r="C388" s="5" t="e">
        <f>+'Measurment 3rd floor'!#REF!</f>
        <v>#REF!</v>
      </c>
      <c r="D388" s="29"/>
      <c r="E388" s="15"/>
      <c r="F388" s="5" t="e">
        <f>+'Measurment 3rd floor'!#REF!</f>
        <v>#REF!</v>
      </c>
    </row>
    <row r="389" spans="1:6" ht="13.5" customHeight="1" x14ac:dyDescent="0.3">
      <c r="A389" s="29"/>
      <c r="B389" s="15"/>
      <c r="C389" s="5" t="e">
        <f>+'Measurment 3rd floor'!#REF!</f>
        <v>#REF!</v>
      </c>
      <c r="D389" s="29"/>
      <c r="E389" s="15"/>
      <c r="F389" s="5" t="e">
        <f>+'Measurment 3rd floor'!#REF!</f>
        <v>#REF!</v>
      </c>
    </row>
    <row r="390" spans="1:6" ht="13.5" customHeight="1" x14ac:dyDescent="0.3">
      <c r="A390" s="29"/>
      <c r="B390" s="15"/>
      <c r="C390" s="5" t="e">
        <f>+'Measurment 3rd floor'!#REF!</f>
        <v>#REF!</v>
      </c>
      <c r="D390" s="29"/>
      <c r="E390" s="15"/>
      <c r="F390" s="5" t="e">
        <f>+'Measurment 3rd floor'!#REF!</f>
        <v>#REF!</v>
      </c>
    </row>
    <row r="391" spans="1:6" ht="14.1" customHeight="1" x14ac:dyDescent="0.3">
      <c r="A391" s="29"/>
      <c r="B391" s="15"/>
      <c r="C391" s="5" t="e">
        <f>+'Measurment 3rd floor'!#REF!</f>
        <v>#REF!</v>
      </c>
      <c r="D391" s="29"/>
      <c r="E391" s="2" t="s">
        <v>49</v>
      </c>
      <c r="F391" s="2" t="e">
        <f>SUM(F380:F390)</f>
        <v>#REF!</v>
      </c>
    </row>
    <row r="392" spans="1:6" ht="14.1" customHeight="1" x14ac:dyDescent="0.3">
      <c r="A392" s="29"/>
      <c r="B392" s="2" t="s">
        <v>49</v>
      </c>
      <c r="C392" s="2" t="e">
        <f>SUM(C380:C391)</f>
        <v>#REF!</v>
      </c>
      <c r="D392" s="29"/>
      <c r="E392" s="15"/>
      <c r="F392" s="5"/>
    </row>
    <row r="393" spans="1:6" ht="13.5" customHeight="1" x14ac:dyDescent="0.3">
      <c r="A393" s="29">
        <f>+D380+1</f>
        <v>37</v>
      </c>
      <c r="B393" s="7" t="s">
        <v>62</v>
      </c>
      <c r="C393" s="5" t="e">
        <f>+'Measurment 3rd floor'!#REF!</f>
        <v>#REF!</v>
      </c>
      <c r="D393" s="29"/>
      <c r="E393" s="16" t="s">
        <v>61</v>
      </c>
      <c r="F393" s="2" t="e">
        <f>+C449</f>
        <v>#REF!</v>
      </c>
    </row>
    <row r="394" spans="1:6" ht="13.5" customHeight="1" x14ac:dyDescent="0.3">
      <c r="A394" s="29"/>
      <c r="B394" s="7"/>
      <c r="C394" s="5" t="e">
        <f>+'Measurment 3rd floor'!#REF!</f>
        <v>#REF!</v>
      </c>
      <c r="D394" s="29"/>
      <c r="E394" s="16"/>
      <c r="F394" s="5" t="e">
        <f>+'Measurment 3rd floor'!#REF!</f>
        <v>#REF!</v>
      </c>
    </row>
    <row r="395" spans="1:6" ht="13.5" customHeight="1" x14ac:dyDescent="0.3">
      <c r="A395" s="29"/>
      <c r="B395" s="7"/>
      <c r="C395" s="5" t="e">
        <f>+'Measurment 3rd floor'!#REF!</f>
        <v>#REF!</v>
      </c>
      <c r="D395" s="29"/>
      <c r="E395" s="15"/>
      <c r="F395" s="5" t="e">
        <f>+'Measurment 3rd floor'!#REF!</f>
        <v>#REF!</v>
      </c>
    </row>
    <row r="396" spans="1:6" ht="13.5" customHeight="1" x14ac:dyDescent="0.3">
      <c r="A396" s="29"/>
      <c r="B396" s="7"/>
      <c r="C396" s="5" t="e">
        <f>+'Measurment 3rd floor'!#REF!</f>
        <v>#REF!</v>
      </c>
      <c r="D396" s="29"/>
      <c r="E396" s="15"/>
      <c r="F396" s="5" t="e">
        <f>+'Measurment 3rd floor'!#REF!</f>
        <v>#REF!</v>
      </c>
    </row>
    <row r="397" spans="1:6" ht="13.5" customHeight="1" x14ac:dyDescent="0.3">
      <c r="A397" s="29"/>
      <c r="B397" s="7"/>
      <c r="C397" s="5" t="e">
        <f>+'Measurment 3rd floor'!#REF!</f>
        <v>#REF!</v>
      </c>
      <c r="D397" s="29"/>
      <c r="E397" s="15"/>
      <c r="F397" s="5" t="e">
        <f>+'Measurment 3rd floor'!#REF!</f>
        <v>#REF!</v>
      </c>
    </row>
    <row r="398" spans="1:6" ht="13.5" customHeight="1" x14ac:dyDescent="0.3">
      <c r="A398" s="29"/>
      <c r="B398" s="7"/>
      <c r="C398" s="5" t="e">
        <f>+'Measurment 3rd floor'!#REF!</f>
        <v>#REF!</v>
      </c>
      <c r="D398" s="29"/>
      <c r="E398" s="15"/>
      <c r="F398" s="5" t="e">
        <f>+'Measurment 3rd floor'!#REF!</f>
        <v>#REF!</v>
      </c>
    </row>
    <row r="399" spans="1:6" ht="13.5" customHeight="1" x14ac:dyDescent="0.3">
      <c r="A399" s="29"/>
      <c r="B399" s="7"/>
      <c r="C399" s="5" t="e">
        <f>+'Measurment 3rd floor'!#REF!</f>
        <v>#REF!</v>
      </c>
      <c r="D399" s="29"/>
      <c r="E399" s="15"/>
      <c r="F399" s="5" t="e">
        <f>+'Measurment 3rd floor'!#REF!</f>
        <v>#REF!</v>
      </c>
    </row>
    <row r="400" spans="1:6" ht="13.5" customHeight="1" x14ac:dyDescent="0.3">
      <c r="A400" s="29"/>
      <c r="B400" s="7"/>
      <c r="C400" s="5" t="e">
        <f>+'Measurment 3rd floor'!#REF!</f>
        <v>#REF!</v>
      </c>
      <c r="D400" s="29"/>
      <c r="E400" s="15"/>
      <c r="F400" s="5" t="e">
        <f>+'Measurment 3rd floor'!#REF!</f>
        <v>#REF!</v>
      </c>
    </row>
    <row r="401" spans="1:6" ht="13.5" customHeight="1" x14ac:dyDescent="0.3">
      <c r="A401" s="29"/>
      <c r="B401" s="2" t="s">
        <v>49</v>
      </c>
      <c r="C401" s="2" t="e">
        <f>SUM(C393:C400)</f>
        <v>#REF!</v>
      </c>
      <c r="D401" s="29"/>
      <c r="E401" s="15"/>
      <c r="F401" s="5" t="e">
        <f>+'Measurment 3rd floor'!#REF!</f>
        <v>#REF!</v>
      </c>
    </row>
    <row r="402" spans="1:6" ht="13.5" customHeight="1" x14ac:dyDescent="0.3">
      <c r="A402" s="29"/>
      <c r="B402" s="7"/>
      <c r="C402" s="2"/>
      <c r="D402" s="29"/>
      <c r="E402" s="15"/>
      <c r="F402" s="5" t="e">
        <f>+'Measurment 3rd floor'!#REF!</f>
        <v>#REF!</v>
      </c>
    </row>
    <row r="403" spans="1:6" ht="13.5" customHeight="1" x14ac:dyDescent="0.3">
      <c r="A403" s="29">
        <f>+A393+1</f>
        <v>38</v>
      </c>
      <c r="B403" s="7" t="s">
        <v>14</v>
      </c>
      <c r="C403" s="5">
        <f>+'Measurment 3rd floor'!G51</f>
        <v>8.16</v>
      </c>
      <c r="D403" s="29"/>
      <c r="E403" s="15"/>
      <c r="F403" s="5" t="e">
        <f>+'Measurment 3rd floor'!#REF!</f>
        <v>#REF!</v>
      </c>
    </row>
    <row r="404" spans="1:6" ht="13.5" customHeight="1" x14ac:dyDescent="0.3">
      <c r="A404" s="29"/>
      <c r="B404" s="15"/>
      <c r="C404" s="5">
        <f>+'Measurment 3rd floor'!G98</f>
        <v>9.3699999999999992</v>
      </c>
      <c r="D404" s="29"/>
      <c r="E404" s="15"/>
      <c r="F404" s="5" t="e">
        <f>+'Measurment 3rd floor'!#REF!</f>
        <v>#REF!</v>
      </c>
    </row>
    <row r="405" spans="1:6" ht="13.5" customHeight="1" x14ac:dyDescent="0.3">
      <c r="A405" s="29"/>
      <c r="B405" s="15"/>
      <c r="C405" s="5">
        <f>+'Measurment 3rd floor'!G137</f>
        <v>0</v>
      </c>
      <c r="D405" s="29"/>
      <c r="E405" s="15"/>
      <c r="F405" s="5" t="e">
        <f>+'Measurment 3rd floor'!#REF!</f>
        <v>#REF!</v>
      </c>
    </row>
    <row r="406" spans="1:6" ht="13.5" customHeight="1" x14ac:dyDescent="0.3">
      <c r="A406" s="29"/>
      <c r="B406" s="15"/>
      <c r="C406" s="5">
        <f>+'Measurment 3rd floor'!G310</f>
        <v>11.16</v>
      </c>
      <c r="D406" s="29"/>
      <c r="E406" s="15"/>
      <c r="F406" s="5" t="e">
        <f>+'Measurment 3rd floor'!#REF!</f>
        <v>#REF!</v>
      </c>
    </row>
    <row r="407" spans="1:6" ht="13.5" customHeight="1" x14ac:dyDescent="0.3">
      <c r="A407" s="29"/>
      <c r="B407" s="15"/>
      <c r="C407" s="5">
        <f>+'Measurment 3rd floor'!G515</f>
        <v>0</v>
      </c>
      <c r="D407" s="29"/>
      <c r="E407" s="15"/>
      <c r="F407" s="5" t="e">
        <f>+'Measurment 3rd floor'!#REF!</f>
        <v>#REF!</v>
      </c>
    </row>
    <row r="408" spans="1:6" ht="13.5" customHeight="1" x14ac:dyDescent="0.3">
      <c r="A408" s="29"/>
      <c r="B408" s="15"/>
      <c r="C408" s="5">
        <f>+'Measurment 3rd floor'!G550</f>
        <v>0</v>
      </c>
      <c r="D408" s="29"/>
      <c r="E408" s="15"/>
      <c r="F408" s="5" t="e">
        <f>+'Measurment 3rd floor'!#REF!</f>
        <v>#REF!</v>
      </c>
    </row>
    <row r="409" spans="1:6" ht="13.5" customHeight="1" x14ac:dyDescent="0.3">
      <c r="A409" s="29"/>
      <c r="B409" s="15"/>
      <c r="C409" s="5">
        <f>+'Measurment 3rd floor'!G588</f>
        <v>0</v>
      </c>
      <c r="D409" s="29"/>
      <c r="E409" s="15"/>
      <c r="F409" s="5" t="e">
        <f>+'Measurment 3rd floor'!#REF!</f>
        <v>#REF!</v>
      </c>
    </row>
    <row r="410" spans="1:6" ht="13.5" customHeight="1" x14ac:dyDescent="0.3">
      <c r="A410" s="29"/>
      <c r="B410" s="15"/>
      <c r="C410" s="5" t="e">
        <f>+'Measurment 3rd floor'!#REF!</f>
        <v>#REF!</v>
      </c>
      <c r="D410" s="29"/>
      <c r="E410" s="15"/>
      <c r="F410" s="5" t="e">
        <f>+'Measurment 3rd floor'!#REF!</f>
        <v>#REF!</v>
      </c>
    </row>
    <row r="411" spans="1:6" ht="13.5" customHeight="1" x14ac:dyDescent="0.3">
      <c r="A411" s="29"/>
      <c r="B411" s="15"/>
      <c r="C411" s="5" t="e">
        <f>+'Measurment 3rd floor'!#REF!</f>
        <v>#REF!</v>
      </c>
      <c r="D411" s="29"/>
      <c r="E411" s="15"/>
      <c r="F411" s="5" t="e">
        <f>+'Measurment 3rd floor'!#REF!</f>
        <v>#REF!</v>
      </c>
    </row>
    <row r="412" spans="1:6" ht="13.5" customHeight="1" x14ac:dyDescent="0.3">
      <c r="A412" s="29"/>
      <c r="B412" s="15"/>
      <c r="C412" s="5" t="e">
        <f>+'Measurment 3rd floor'!#REF!</f>
        <v>#REF!</v>
      </c>
      <c r="D412" s="29"/>
      <c r="E412" s="15"/>
      <c r="F412" s="5" t="e">
        <f>+'Measurment 3rd floor'!#REF!</f>
        <v>#REF!</v>
      </c>
    </row>
    <row r="413" spans="1:6" ht="13.5" customHeight="1" x14ac:dyDescent="0.3">
      <c r="A413" s="29"/>
      <c r="B413" s="15"/>
      <c r="C413" s="5" t="e">
        <f>+'Measurment 3rd floor'!#REF!</f>
        <v>#REF!</v>
      </c>
      <c r="D413" s="29"/>
      <c r="E413" s="15"/>
      <c r="F413" s="5" t="e">
        <f>+'Measurment 3rd floor'!#REF!</f>
        <v>#REF!</v>
      </c>
    </row>
    <row r="414" spans="1:6" ht="13.5" customHeight="1" x14ac:dyDescent="0.3">
      <c r="A414" s="29"/>
      <c r="B414" s="15"/>
      <c r="C414" s="5" t="e">
        <f>+'Measurment 3rd floor'!#REF!</f>
        <v>#REF!</v>
      </c>
      <c r="D414" s="29"/>
      <c r="E414" s="2" t="s">
        <v>49</v>
      </c>
      <c r="F414" s="2" t="e">
        <f>SUM(F393:F413)</f>
        <v>#REF!</v>
      </c>
    </row>
    <row r="415" spans="1:6" ht="13.5" customHeight="1" x14ac:dyDescent="0.3">
      <c r="A415" s="29"/>
      <c r="B415" s="15"/>
      <c r="C415" s="5" t="e">
        <f>+'Measurment 3rd floor'!#REF!</f>
        <v>#REF!</v>
      </c>
      <c r="D415" s="29"/>
      <c r="E415" s="15"/>
      <c r="F415" s="5"/>
    </row>
    <row r="416" spans="1:6" ht="13.5" customHeight="1" x14ac:dyDescent="0.3">
      <c r="A416" s="29"/>
      <c r="B416" s="15"/>
      <c r="C416" s="5" t="e">
        <f>+'Measurment 3rd floor'!#REF!</f>
        <v>#REF!</v>
      </c>
      <c r="D416" s="29">
        <f>+A403+1</f>
        <v>39</v>
      </c>
      <c r="E416" s="7" t="s">
        <v>24</v>
      </c>
      <c r="F416" s="5" t="e">
        <f>+'Measurment 3rd floor'!#REF!</f>
        <v>#REF!</v>
      </c>
    </row>
    <row r="417" spans="1:6" ht="13.5" customHeight="1" x14ac:dyDescent="0.3">
      <c r="A417" s="29"/>
      <c r="B417" s="15"/>
      <c r="C417" s="5" t="e">
        <f>+'Measurment 3rd floor'!#REF!</f>
        <v>#REF!</v>
      </c>
      <c r="D417" s="29"/>
      <c r="E417" s="15"/>
      <c r="F417" s="5">
        <f>+'Measurment 3rd floor'!G152</f>
        <v>0</v>
      </c>
    </row>
    <row r="418" spans="1:6" ht="13.5" customHeight="1" x14ac:dyDescent="0.3">
      <c r="A418" s="29"/>
      <c r="B418" s="15"/>
      <c r="C418" s="5" t="e">
        <f>+'Measurment 3rd floor'!#REF!</f>
        <v>#REF!</v>
      </c>
      <c r="D418" s="29"/>
      <c r="E418" s="15"/>
      <c r="F418" s="5">
        <f>+'Measurment 3rd floor'!G170</f>
        <v>0</v>
      </c>
    </row>
    <row r="419" spans="1:6" ht="13.5" customHeight="1" x14ac:dyDescent="0.3">
      <c r="A419" s="29"/>
      <c r="B419" s="15"/>
      <c r="C419" s="5" t="e">
        <f>+'Measurment 3rd floor'!#REF!</f>
        <v>#REF!</v>
      </c>
      <c r="D419" s="29"/>
      <c r="E419" s="15"/>
      <c r="F419" s="5">
        <f>+'Measurment 3rd floor'!G185</f>
        <v>0</v>
      </c>
    </row>
    <row r="420" spans="1:6" ht="13.5" customHeight="1" x14ac:dyDescent="0.3">
      <c r="A420" s="29"/>
      <c r="B420" s="15"/>
      <c r="C420" s="5" t="e">
        <f>+'Measurment 3rd floor'!#REF!</f>
        <v>#REF!</v>
      </c>
      <c r="D420" s="29"/>
      <c r="E420" s="15"/>
      <c r="F420" s="5">
        <f>+'Measurment 3rd floor'!G201</f>
        <v>0</v>
      </c>
    </row>
    <row r="421" spans="1:6" ht="13.5" customHeight="1" x14ac:dyDescent="0.3">
      <c r="A421" s="29"/>
      <c r="B421" s="15"/>
      <c r="C421" s="5" t="e">
        <f>+'Measurment 3rd floor'!#REF!</f>
        <v>#REF!</v>
      </c>
      <c r="D421" s="29"/>
      <c r="E421" s="15"/>
      <c r="F421" s="5">
        <f>+'Measurment 3rd floor'!G219</f>
        <v>0</v>
      </c>
    </row>
    <row r="422" spans="1:6" ht="13.5" customHeight="1" x14ac:dyDescent="0.3">
      <c r="A422" s="29"/>
      <c r="B422" s="15"/>
      <c r="C422" s="5" t="e">
        <f>+'Measurment 3rd floor'!#REF!</f>
        <v>#REF!</v>
      </c>
      <c r="D422" s="29"/>
      <c r="E422" s="15"/>
      <c r="F422" s="5">
        <f>+'Measurment 3rd floor'!G264</f>
        <v>36</v>
      </c>
    </row>
    <row r="423" spans="1:6" ht="13.5" customHeight="1" x14ac:dyDescent="0.3">
      <c r="A423" s="29"/>
      <c r="B423" s="15"/>
      <c r="C423" s="5" t="e">
        <f>+'Measurment 3rd floor'!#REF!</f>
        <v>#REF!</v>
      </c>
      <c r="D423" s="29"/>
      <c r="E423" s="15"/>
      <c r="F423" s="5">
        <f>+'Measurment 3rd floor'!G298</f>
        <v>0</v>
      </c>
    </row>
    <row r="424" spans="1:6" ht="13.5" customHeight="1" x14ac:dyDescent="0.3">
      <c r="A424" s="29"/>
      <c r="B424" s="15"/>
      <c r="C424" s="5" t="e">
        <f>+'Measurment 3rd floor'!#REF!</f>
        <v>#REF!</v>
      </c>
      <c r="D424" s="29"/>
      <c r="E424" s="15"/>
      <c r="F424" s="5">
        <f>+'Measurment 3rd floor'!G313</f>
        <v>32</v>
      </c>
    </row>
    <row r="425" spans="1:6" ht="13.5" customHeight="1" x14ac:dyDescent="0.3">
      <c r="A425" s="29"/>
      <c r="B425" s="15"/>
      <c r="C425" s="5" t="e">
        <f>+'Measurment 3rd floor'!#REF!</f>
        <v>#REF!</v>
      </c>
      <c r="D425" s="29"/>
      <c r="E425" s="15"/>
      <c r="F425" s="5">
        <f>+'Measurment 3rd floor'!G348</f>
        <v>0</v>
      </c>
    </row>
    <row r="426" spans="1:6" ht="13.5" customHeight="1" x14ac:dyDescent="0.3">
      <c r="A426" s="29"/>
      <c r="B426" s="15"/>
      <c r="C426" s="5" t="e">
        <f>+'Measurment 3rd floor'!#REF!</f>
        <v>#REF!</v>
      </c>
      <c r="D426" s="29"/>
      <c r="E426" s="15"/>
      <c r="F426" s="5">
        <f>+'Measurment 3rd floor'!G394</f>
        <v>0</v>
      </c>
    </row>
    <row r="427" spans="1:6" ht="13.5" customHeight="1" x14ac:dyDescent="0.3">
      <c r="A427" s="29"/>
      <c r="B427" s="15"/>
      <c r="C427" s="5" t="e">
        <f>+'Measurment 3rd floor'!#REF!</f>
        <v>#REF!</v>
      </c>
      <c r="D427" s="29"/>
      <c r="E427" s="15"/>
      <c r="F427" s="5">
        <f>+'Measurment 3rd floor'!G601</f>
        <v>20.94</v>
      </c>
    </row>
    <row r="428" spans="1:6" ht="13.5" customHeight="1" x14ac:dyDescent="0.3">
      <c r="A428" s="29"/>
      <c r="B428" s="17"/>
      <c r="C428" s="5" t="e">
        <f>+'Measurment 3rd floor'!#REF!</f>
        <v>#REF!</v>
      </c>
      <c r="D428" s="29"/>
      <c r="E428" s="15"/>
      <c r="F428" s="5">
        <f>+'Measurment 3rd floor'!G605</f>
        <v>4.75</v>
      </c>
    </row>
    <row r="429" spans="1:6" ht="13.5" customHeight="1" x14ac:dyDescent="0.3">
      <c r="A429" s="29"/>
      <c r="B429" s="15"/>
      <c r="C429" s="5" t="e">
        <f>+'Measurment 3rd floor'!#REF!</f>
        <v>#REF!</v>
      </c>
      <c r="D429" s="29"/>
      <c r="E429" s="15"/>
      <c r="F429" s="5" t="e">
        <f>+'Measurment 3rd floor'!#REF!</f>
        <v>#REF!</v>
      </c>
    </row>
    <row r="430" spans="1:6" ht="13.5" customHeight="1" x14ac:dyDescent="0.3">
      <c r="A430" s="29"/>
      <c r="B430" s="15"/>
      <c r="C430" s="5" t="e">
        <f>+'Measurment 3rd floor'!#REF!</f>
        <v>#REF!</v>
      </c>
      <c r="D430" s="29"/>
      <c r="E430" s="15"/>
      <c r="F430" s="5" t="e">
        <f>+'Measurment 3rd floor'!#REF!</f>
        <v>#REF!</v>
      </c>
    </row>
    <row r="431" spans="1:6" ht="13.5" customHeight="1" x14ac:dyDescent="0.3">
      <c r="A431" s="29"/>
      <c r="B431" s="15"/>
      <c r="C431" s="5" t="e">
        <f>+'Measurment 3rd floor'!#REF!</f>
        <v>#REF!</v>
      </c>
      <c r="D431" s="29"/>
      <c r="E431" s="15"/>
      <c r="F431" s="5" t="e">
        <f>+'Measurment 3rd floor'!#REF!</f>
        <v>#REF!</v>
      </c>
    </row>
    <row r="432" spans="1:6" ht="13.5" customHeight="1" x14ac:dyDescent="0.3">
      <c r="A432" s="29"/>
      <c r="B432" s="15"/>
      <c r="C432" s="5" t="e">
        <f>+'Measurment 3rd floor'!#REF!</f>
        <v>#REF!</v>
      </c>
      <c r="D432" s="29"/>
      <c r="E432" s="15"/>
      <c r="F432" s="5" t="e">
        <f>+'Measurment 3rd floor'!#REF!</f>
        <v>#REF!</v>
      </c>
    </row>
    <row r="433" spans="1:6" ht="13.5" customHeight="1" x14ac:dyDescent="0.3">
      <c r="A433" s="29"/>
      <c r="B433" s="15"/>
      <c r="C433" s="5" t="e">
        <f>+'Measurment 3rd floor'!#REF!</f>
        <v>#REF!</v>
      </c>
      <c r="D433" s="29"/>
      <c r="E433" s="15"/>
      <c r="F433" s="5" t="e">
        <f>+'Measurment 3rd floor'!#REF!</f>
        <v>#REF!</v>
      </c>
    </row>
    <row r="434" spans="1:6" ht="13.5" customHeight="1" x14ac:dyDescent="0.3">
      <c r="A434" s="29"/>
      <c r="B434" s="15"/>
      <c r="C434" s="5" t="e">
        <f>+'Measurment 3rd floor'!#REF!</f>
        <v>#REF!</v>
      </c>
      <c r="D434" s="29"/>
      <c r="E434" s="15"/>
      <c r="F434" s="5" t="e">
        <f>+'Measurment 3rd floor'!#REF!</f>
        <v>#REF!</v>
      </c>
    </row>
    <row r="435" spans="1:6" ht="13.5" customHeight="1" x14ac:dyDescent="0.3">
      <c r="A435" s="29"/>
      <c r="B435" s="15"/>
      <c r="C435" s="5" t="e">
        <f>+'Measurment 3rd floor'!#REF!</f>
        <v>#REF!</v>
      </c>
      <c r="D435" s="29"/>
      <c r="E435" s="15"/>
      <c r="F435" s="5" t="e">
        <f>+'Measurment 3rd floor'!#REF!</f>
        <v>#REF!</v>
      </c>
    </row>
    <row r="436" spans="1:6" ht="13.5" customHeight="1" x14ac:dyDescent="0.3">
      <c r="A436" s="29"/>
      <c r="B436" s="15"/>
      <c r="C436" s="5" t="e">
        <f>+'Measurment 3rd floor'!#REF!</f>
        <v>#REF!</v>
      </c>
      <c r="D436" s="29"/>
      <c r="E436" s="15"/>
      <c r="F436" s="5" t="e">
        <f>+'Measurment 3rd floor'!#REF!</f>
        <v>#REF!</v>
      </c>
    </row>
    <row r="437" spans="1:6" ht="13.5" customHeight="1" x14ac:dyDescent="0.3">
      <c r="A437" s="29"/>
      <c r="B437" s="15"/>
      <c r="C437" s="5" t="e">
        <f>+'Measurment 3rd floor'!#REF!</f>
        <v>#REF!</v>
      </c>
      <c r="D437" s="29"/>
      <c r="E437" s="15"/>
      <c r="F437" s="5" t="e">
        <f>+'Measurment 3rd floor'!#REF!</f>
        <v>#REF!</v>
      </c>
    </row>
    <row r="438" spans="1:6" ht="13.5" customHeight="1" x14ac:dyDescent="0.3">
      <c r="A438" s="29"/>
      <c r="B438" s="15"/>
      <c r="C438" s="5" t="e">
        <f>+'Measurment 3rd floor'!#REF!</f>
        <v>#REF!</v>
      </c>
      <c r="D438" s="29"/>
      <c r="E438" s="15"/>
      <c r="F438" s="5" t="e">
        <f>+'Measurment 3rd floor'!#REF!</f>
        <v>#REF!</v>
      </c>
    </row>
    <row r="439" spans="1:6" ht="13.5" customHeight="1" x14ac:dyDescent="0.3">
      <c r="A439" s="29"/>
      <c r="B439" s="15"/>
      <c r="C439" s="5" t="e">
        <f>+'Measurment 3rd floor'!#REF!</f>
        <v>#REF!</v>
      </c>
      <c r="D439" s="29"/>
      <c r="E439" s="15"/>
      <c r="F439" s="5" t="e">
        <f>+'Measurment 3rd floor'!#REF!</f>
        <v>#REF!</v>
      </c>
    </row>
    <row r="440" spans="1:6" ht="13.5" customHeight="1" x14ac:dyDescent="0.3">
      <c r="A440" s="29"/>
      <c r="B440" s="15"/>
      <c r="C440" s="5" t="e">
        <f>+'Measurment 3rd floor'!#REF!</f>
        <v>#REF!</v>
      </c>
      <c r="D440" s="29"/>
      <c r="E440" s="15"/>
      <c r="F440" s="5" t="e">
        <f>+'Measurment 3rd floor'!#REF!</f>
        <v>#REF!</v>
      </c>
    </row>
    <row r="441" spans="1:6" ht="13.5" customHeight="1" x14ac:dyDescent="0.3">
      <c r="A441" s="29"/>
      <c r="B441" s="15"/>
      <c r="C441" s="5" t="e">
        <f>+'Measurment 3rd floor'!#REF!</f>
        <v>#REF!</v>
      </c>
      <c r="D441" s="29"/>
      <c r="E441" s="15"/>
      <c r="F441" s="5" t="e">
        <f>+'Measurment 3rd floor'!#REF!</f>
        <v>#REF!</v>
      </c>
    </row>
    <row r="442" spans="1:6" ht="13.5" customHeight="1" x14ac:dyDescent="0.3">
      <c r="A442" s="29"/>
      <c r="B442" s="15"/>
      <c r="C442" s="5" t="e">
        <f>+'Measurment 3rd floor'!#REF!</f>
        <v>#REF!</v>
      </c>
      <c r="D442" s="29"/>
      <c r="E442" s="15"/>
      <c r="F442" s="5" t="e">
        <f>+'Measurment 3rd floor'!#REF!</f>
        <v>#REF!</v>
      </c>
    </row>
    <row r="443" spans="1:6" ht="13.5" customHeight="1" x14ac:dyDescent="0.3">
      <c r="A443" s="29"/>
      <c r="B443" s="15"/>
      <c r="C443" s="5" t="e">
        <f>+'Measurment 3rd floor'!#REF!</f>
        <v>#REF!</v>
      </c>
      <c r="D443" s="29"/>
      <c r="E443" s="15"/>
      <c r="F443" s="5" t="e">
        <f>+'Measurment 3rd floor'!#REF!</f>
        <v>#REF!</v>
      </c>
    </row>
    <row r="444" spans="1:6" ht="13.5" customHeight="1" x14ac:dyDescent="0.3">
      <c r="A444" s="29"/>
      <c r="B444" s="15"/>
      <c r="C444" s="5" t="e">
        <f>+'Measurment 3rd floor'!#REF!</f>
        <v>#REF!</v>
      </c>
      <c r="D444" s="29"/>
      <c r="E444" s="15"/>
      <c r="F444" s="5" t="e">
        <f>+'Measurment 3rd floor'!#REF!</f>
        <v>#REF!</v>
      </c>
    </row>
    <row r="445" spans="1:6" ht="13.5" customHeight="1" x14ac:dyDescent="0.3">
      <c r="A445" s="29"/>
      <c r="B445" s="15"/>
      <c r="C445" s="5" t="e">
        <f>+'Measurment 3rd floor'!#REF!</f>
        <v>#REF!</v>
      </c>
      <c r="D445" s="29"/>
      <c r="E445" s="15"/>
      <c r="F445" s="5" t="e">
        <f>+'Measurment 3rd floor'!#REF!</f>
        <v>#REF!</v>
      </c>
    </row>
    <row r="446" spans="1:6" ht="13.5" customHeight="1" x14ac:dyDescent="0.3">
      <c r="A446" s="29"/>
      <c r="B446" s="15"/>
      <c r="C446" s="5" t="e">
        <f>+'Measurment 3rd floor'!#REF!</f>
        <v>#REF!</v>
      </c>
      <c r="D446" s="29"/>
      <c r="E446" s="15"/>
      <c r="F446" s="5" t="e">
        <f>+'Measurment 3rd floor'!#REF!</f>
        <v>#REF!</v>
      </c>
    </row>
    <row r="447" spans="1:6" ht="13.5" customHeight="1" x14ac:dyDescent="0.3">
      <c r="A447" s="29"/>
      <c r="B447" s="15"/>
      <c r="C447" s="5" t="e">
        <f>+'Measurment 3rd floor'!#REF!</f>
        <v>#REF!</v>
      </c>
      <c r="D447" s="29"/>
      <c r="E447" s="15"/>
      <c r="F447" s="5" t="e">
        <f>+'Measurment 3rd floor'!#REF!</f>
        <v>#REF!</v>
      </c>
    </row>
    <row r="448" spans="1:6" ht="13.5" customHeight="1" x14ac:dyDescent="0.3">
      <c r="A448" s="29"/>
      <c r="B448" s="15"/>
      <c r="C448" s="5" t="e">
        <f>+'Measurment 3rd floor'!#REF!</f>
        <v>#REF!</v>
      </c>
      <c r="D448" s="29"/>
      <c r="E448" s="15"/>
      <c r="F448" s="5" t="e">
        <f>+'Measurment 3rd floor'!#REF!</f>
        <v>#REF!</v>
      </c>
    </row>
    <row r="449" spans="1:6" ht="13.5" customHeight="1" x14ac:dyDescent="0.3">
      <c r="A449" s="29"/>
      <c r="B449" s="16" t="s">
        <v>60</v>
      </c>
      <c r="C449" s="2" t="e">
        <f>SUM(C403:C448)</f>
        <v>#REF!</v>
      </c>
      <c r="D449" s="29"/>
      <c r="E449" s="16" t="s">
        <v>60</v>
      </c>
      <c r="F449" s="2" t="e">
        <f>SUM(F416:F448)</f>
        <v>#REF!</v>
      </c>
    </row>
    <row r="450" spans="1:6" ht="13.5" customHeight="1" x14ac:dyDescent="0.3">
      <c r="A450" s="29"/>
      <c r="B450" s="54" t="s">
        <v>85</v>
      </c>
      <c r="C450" s="2" t="e">
        <f>+F449</f>
        <v>#REF!</v>
      </c>
      <c r="D450" s="29"/>
      <c r="E450" s="16" t="s">
        <v>61</v>
      </c>
      <c r="F450" s="2" t="e">
        <f>+C506</f>
        <v>#REF!</v>
      </c>
    </row>
    <row r="451" spans="1:6" ht="13.5" customHeight="1" x14ac:dyDescent="0.3">
      <c r="A451" s="29"/>
      <c r="B451" s="15"/>
      <c r="C451" s="5" t="e">
        <f>+'Measurment 3rd floor'!#REF!</f>
        <v>#REF!</v>
      </c>
      <c r="D451" s="29"/>
      <c r="E451" s="15"/>
      <c r="F451" s="5" t="e">
        <f>+'Measurment 3rd floor'!#REF!</f>
        <v>#REF!</v>
      </c>
    </row>
    <row r="452" spans="1:6" ht="13.5" customHeight="1" x14ac:dyDescent="0.3">
      <c r="A452" s="29"/>
      <c r="B452" s="15"/>
      <c r="C452" s="5" t="e">
        <f>+'Measurment 3rd floor'!#REF!</f>
        <v>#REF!</v>
      </c>
      <c r="D452" s="29"/>
      <c r="E452" s="15"/>
      <c r="F452" s="5" t="e">
        <f>+'Measurment 3rd floor'!#REF!</f>
        <v>#REF!</v>
      </c>
    </row>
    <row r="453" spans="1:6" ht="13.5" customHeight="1" x14ac:dyDescent="0.3">
      <c r="A453" s="29"/>
      <c r="B453" s="15"/>
      <c r="C453" s="5" t="e">
        <f>+'Measurment 3rd floor'!#REF!</f>
        <v>#REF!</v>
      </c>
      <c r="D453" s="29"/>
      <c r="E453" s="15"/>
      <c r="F453" s="5" t="e">
        <f>+'Measurment 3rd floor'!#REF!</f>
        <v>#REF!</v>
      </c>
    </row>
    <row r="454" spans="1:6" ht="13.5" customHeight="1" x14ac:dyDescent="0.3">
      <c r="A454" s="29"/>
      <c r="B454" s="15"/>
      <c r="C454" s="5" t="e">
        <f>+'Measurment 3rd floor'!#REF!</f>
        <v>#REF!</v>
      </c>
      <c r="D454" s="29"/>
      <c r="E454" s="15"/>
      <c r="F454" s="5" t="e">
        <f>+'Measurment 3rd floor'!#REF!</f>
        <v>#REF!</v>
      </c>
    </row>
    <row r="455" spans="1:6" ht="13.5" customHeight="1" x14ac:dyDescent="0.3">
      <c r="A455" s="29"/>
      <c r="B455" s="15"/>
      <c r="C455" s="5" t="e">
        <f>+'Measurment 3rd floor'!#REF!</f>
        <v>#REF!</v>
      </c>
      <c r="D455" s="29"/>
      <c r="E455" s="15"/>
      <c r="F455" s="5" t="e">
        <f>+'Measurment 3rd floor'!#REF!</f>
        <v>#REF!</v>
      </c>
    </row>
    <row r="456" spans="1:6" ht="13.5" customHeight="1" x14ac:dyDescent="0.3">
      <c r="A456" s="29"/>
      <c r="B456" s="15"/>
      <c r="C456" s="5" t="e">
        <f>+'Measurment 3rd floor'!#REF!</f>
        <v>#REF!</v>
      </c>
      <c r="D456" s="29"/>
      <c r="E456" s="15"/>
      <c r="F456" s="5" t="e">
        <f>+'Measurment 3rd floor'!#REF!</f>
        <v>#REF!</v>
      </c>
    </row>
    <row r="457" spans="1:6" ht="13.5" customHeight="1" x14ac:dyDescent="0.3">
      <c r="A457" s="29"/>
      <c r="B457" s="15"/>
      <c r="C457" s="5" t="e">
        <f>+'Measurment 3rd floor'!#REF!</f>
        <v>#REF!</v>
      </c>
      <c r="D457" s="29"/>
      <c r="E457" s="15"/>
      <c r="F457" s="5" t="e">
        <f>+'Measurment 3rd floor'!#REF!</f>
        <v>#REF!</v>
      </c>
    </row>
    <row r="458" spans="1:6" ht="13.5" customHeight="1" x14ac:dyDescent="0.3">
      <c r="A458" s="29"/>
      <c r="B458" s="15"/>
      <c r="C458" s="5" t="e">
        <f>+'Measurment 3rd floor'!#REF!</f>
        <v>#REF!</v>
      </c>
      <c r="D458" s="29"/>
      <c r="E458" s="15"/>
      <c r="F458" s="5" t="e">
        <f>+'Measurment 3rd floor'!#REF!</f>
        <v>#REF!</v>
      </c>
    </row>
    <row r="459" spans="1:6" ht="13.5" customHeight="1" x14ac:dyDescent="0.3">
      <c r="A459" s="29"/>
      <c r="B459" s="15"/>
      <c r="C459" s="5" t="e">
        <f>+'Measurment 3rd floor'!#REF!</f>
        <v>#REF!</v>
      </c>
      <c r="D459" s="29"/>
      <c r="E459" s="15"/>
      <c r="F459" s="5" t="e">
        <f>+'Measurment 3rd floor'!#REF!</f>
        <v>#REF!</v>
      </c>
    </row>
    <row r="460" spans="1:6" ht="13.5" customHeight="1" x14ac:dyDescent="0.3">
      <c r="A460" s="29"/>
      <c r="B460" s="15"/>
      <c r="C460" s="5" t="e">
        <f>+'Measurment 3rd floor'!#REF!</f>
        <v>#REF!</v>
      </c>
      <c r="D460" s="29"/>
      <c r="E460" s="15"/>
      <c r="F460" s="5" t="e">
        <f>+'Measurment 3rd floor'!#REF!</f>
        <v>#REF!</v>
      </c>
    </row>
    <row r="461" spans="1:6" ht="13.5" customHeight="1" x14ac:dyDescent="0.3">
      <c r="A461" s="29"/>
      <c r="B461" s="15"/>
      <c r="C461" s="11" t="e">
        <f>+'Measurment 3rd floor'!#REF!</f>
        <v>#REF!</v>
      </c>
      <c r="D461" s="29"/>
      <c r="E461" s="15"/>
      <c r="F461" s="5" t="e">
        <f>+'Measurment 3rd floor'!#REF!</f>
        <v>#REF!</v>
      </c>
    </row>
    <row r="462" spans="1:6" ht="13.5" customHeight="1" x14ac:dyDescent="0.3">
      <c r="A462" s="29"/>
      <c r="B462" s="15"/>
      <c r="C462" s="5" t="e">
        <f>+'Measurment 3rd floor'!#REF!</f>
        <v>#REF!</v>
      </c>
      <c r="D462" s="29"/>
      <c r="E462" s="15"/>
      <c r="F462" s="5" t="e">
        <f>+'Measurment 3rd floor'!#REF!</f>
        <v>#REF!</v>
      </c>
    </row>
    <row r="463" spans="1:6" ht="13.5" customHeight="1" x14ac:dyDescent="0.3">
      <c r="A463" s="29"/>
      <c r="B463" s="15"/>
      <c r="C463" s="5" t="e">
        <f>+'Measurment 3rd floor'!#REF!</f>
        <v>#REF!</v>
      </c>
      <c r="D463" s="29"/>
      <c r="E463" s="15"/>
      <c r="F463" s="5" t="e">
        <f>+'Measurment 3rd floor'!#REF!</f>
        <v>#REF!</v>
      </c>
    </row>
    <row r="464" spans="1:6" ht="13.5" customHeight="1" x14ac:dyDescent="0.3">
      <c r="A464" s="29"/>
      <c r="B464" s="15"/>
      <c r="C464" s="5" t="e">
        <f>+'Measurment 3rd floor'!#REF!</f>
        <v>#REF!</v>
      </c>
      <c r="D464" s="29"/>
      <c r="E464" s="15"/>
      <c r="F464" s="5" t="e">
        <f>+'Measurment 3rd floor'!#REF!</f>
        <v>#REF!</v>
      </c>
    </row>
    <row r="465" spans="1:6" ht="13.5" customHeight="1" x14ac:dyDescent="0.3">
      <c r="A465" s="29"/>
      <c r="B465" s="15"/>
      <c r="C465" s="5" t="e">
        <f>+'Measurment 3rd floor'!#REF!</f>
        <v>#REF!</v>
      </c>
      <c r="D465" s="29"/>
      <c r="E465" s="15"/>
      <c r="F465" s="5" t="e">
        <f>+'Measurment 3rd floor'!#REF!</f>
        <v>#REF!</v>
      </c>
    </row>
    <row r="466" spans="1:6" ht="13.5" customHeight="1" x14ac:dyDescent="0.3">
      <c r="A466" s="29"/>
      <c r="B466" s="15"/>
      <c r="C466" s="5" t="e">
        <f>+'Measurment 3rd floor'!#REF!</f>
        <v>#REF!</v>
      </c>
      <c r="D466" s="29"/>
      <c r="E466" s="15"/>
      <c r="F466" s="5" t="e">
        <f>+'Measurment 3rd floor'!#REF!</f>
        <v>#REF!</v>
      </c>
    </row>
    <row r="467" spans="1:6" ht="13.5" customHeight="1" x14ac:dyDescent="0.3">
      <c r="A467" s="29"/>
      <c r="B467" s="15"/>
      <c r="C467" s="5" t="e">
        <f>+'Measurment 3rd floor'!#REF!</f>
        <v>#REF!</v>
      </c>
      <c r="D467" s="29"/>
      <c r="E467" s="15"/>
      <c r="F467" s="5" t="e">
        <f>+'Measurment 3rd floor'!#REF!</f>
        <v>#REF!</v>
      </c>
    </row>
    <row r="468" spans="1:6" ht="13.5" customHeight="1" x14ac:dyDescent="0.3">
      <c r="A468" s="29"/>
      <c r="B468" s="15"/>
      <c r="C468" s="5" t="e">
        <f>+'Measurment 3rd floor'!#REF!</f>
        <v>#REF!</v>
      </c>
      <c r="D468" s="29"/>
      <c r="E468" s="15"/>
      <c r="F468" s="5" t="e">
        <f>+'Measurment 3rd floor'!#REF!</f>
        <v>#REF!</v>
      </c>
    </row>
    <row r="469" spans="1:6" ht="13.5" customHeight="1" x14ac:dyDescent="0.3">
      <c r="A469" s="29"/>
      <c r="B469" s="15"/>
      <c r="C469" s="5" t="e">
        <f>+'Measurment 3rd floor'!#REF!</f>
        <v>#REF!</v>
      </c>
      <c r="D469" s="29"/>
      <c r="E469" s="15"/>
      <c r="F469" s="5" t="e">
        <f>+'Measurment 3rd floor'!#REF!</f>
        <v>#REF!</v>
      </c>
    </row>
    <row r="470" spans="1:6" ht="13.5" customHeight="1" x14ac:dyDescent="0.3">
      <c r="A470" s="29"/>
      <c r="B470" s="15"/>
      <c r="C470" s="5" t="e">
        <f>+'Measurment 3rd floor'!#REF!</f>
        <v>#REF!</v>
      </c>
      <c r="D470" s="29"/>
      <c r="E470" s="15"/>
      <c r="F470" s="5" t="e">
        <f>+'Measurment 3rd floor'!#REF!</f>
        <v>#REF!</v>
      </c>
    </row>
    <row r="471" spans="1:6" ht="13.5" customHeight="1" x14ac:dyDescent="0.3">
      <c r="A471" s="29"/>
      <c r="B471" s="15"/>
      <c r="C471" s="5" t="e">
        <f>+'Measurment 3rd floor'!#REF!</f>
        <v>#REF!</v>
      </c>
      <c r="D471" s="29"/>
      <c r="E471" s="15"/>
      <c r="F471" s="5" t="e">
        <f>+'Measurment 3rd floor'!#REF!</f>
        <v>#REF!</v>
      </c>
    </row>
    <row r="472" spans="1:6" ht="13.5" customHeight="1" x14ac:dyDescent="0.3">
      <c r="A472" s="29"/>
      <c r="B472" s="17"/>
      <c r="C472" s="5" t="e">
        <f>+'Measurment 3rd floor'!#REF!</f>
        <v>#REF!</v>
      </c>
      <c r="D472" s="29"/>
      <c r="E472" s="15"/>
      <c r="F472" s="5" t="e">
        <f>+'Measurment 3rd floor'!#REF!</f>
        <v>#REF!</v>
      </c>
    </row>
    <row r="473" spans="1:6" ht="13.5" customHeight="1" x14ac:dyDescent="0.3">
      <c r="A473" s="29"/>
      <c r="B473" s="15"/>
      <c r="C473" s="5" t="e">
        <f>+'Measurment 3rd floor'!#REF!</f>
        <v>#REF!</v>
      </c>
      <c r="D473" s="29"/>
      <c r="E473" s="15"/>
      <c r="F473" s="5" t="e">
        <f>+'Measurment 3rd floor'!#REF!</f>
        <v>#REF!</v>
      </c>
    </row>
    <row r="474" spans="1:6" ht="13.5" customHeight="1" x14ac:dyDescent="0.3">
      <c r="A474" s="29"/>
      <c r="B474" s="15"/>
      <c r="C474" s="5" t="e">
        <f>+'Measurment 3rd floor'!#REF!</f>
        <v>#REF!</v>
      </c>
      <c r="D474" s="29"/>
      <c r="E474" s="15"/>
      <c r="F474" s="5" t="e">
        <f>+'Measurment 3rd floor'!#REF!</f>
        <v>#REF!</v>
      </c>
    </row>
    <row r="475" spans="1:6" ht="13.5" customHeight="1" x14ac:dyDescent="0.3">
      <c r="A475" s="29"/>
      <c r="B475" s="15"/>
      <c r="C475" s="5" t="e">
        <f>+'Measurment 3rd floor'!#REF!</f>
        <v>#REF!</v>
      </c>
      <c r="D475" s="29"/>
      <c r="E475" s="15"/>
      <c r="F475" s="5" t="e">
        <f>+'Measurment 3rd floor'!#REF!</f>
        <v>#REF!</v>
      </c>
    </row>
    <row r="476" spans="1:6" ht="13.5" customHeight="1" x14ac:dyDescent="0.3">
      <c r="A476" s="29"/>
      <c r="B476" s="15"/>
      <c r="C476" s="5" t="e">
        <f>+'Measurment 3rd floor'!#REF!</f>
        <v>#REF!</v>
      </c>
      <c r="D476" s="29"/>
      <c r="E476" s="15"/>
      <c r="F476" s="5" t="e">
        <f>+'Measurment 3rd floor'!#REF!</f>
        <v>#REF!</v>
      </c>
    </row>
    <row r="477" spans="1:6" ht="13.5" customHeight="1" x14ac:dyDescent="0.3">
      <c r="A477" s="29"/>
      <c r="B477" s="15"/>
      <c r="C477" s="5" t="e">
        <f>+'Measurment 3rd floor'!#REF!</f>
        <v>#REF!</v>
      </c>
      <c r="D477" s="29"/>
      <c r="E477" s="15"/>
      <c r="F477" s="5" t="e">
        <f>+'Measurment 3rd floor'!#REF!</f>
        <v>#REF!</v>
      </c>
    </row>
    <row r="478" spans="1:6" ht="13.5" customHeight="1" x14ac:dyDescent="0.3">
      <c r="A478" s="29"/>
      <c r="B478" s="15"/>
      <c r="C478" s="5" t="e">
        <f>+'Measurment 3rd floor'!#REF!</f>
        <v>#REF!</v>
      </c>
      <c r="D478" s="29"/>
      <c r="E478" s="15"/>
      <c r="F478" s="5" t="e">
        <f>+'Measurment 3rd floor'!#REF!</f>
        <v>#REF!</v>
      </c>
    </row>
    <row r="479" spans="1:6" ht="13.5" customHeight="1" x14ac:dyDescent="0.3">
      <c r="A479" s="29"/>
      <c r="B479" s="15"/>
      <c r="C479" s="5" t="e">
        <f>+'Measurment 3rd floor'!#REF!</f>
        <v>#REF!</v>
      </c>
      <c r="D479" s="29"/>
      <c r="E479" s="15"/>
      <c r="F479" s="5" t="e">
        <f>+'Measurment 3rd floor'!#REF!</f>
        <v>#REF!</v>
      </c>
    </row>
    <row r="480" spans="1:6" ht="13.5" customHeight="1" x14ac:dyDescent="0.3">
      <c r="A480" s="29"/>
      <c r="B480" s="15"/>
      <c r="C480" s="5" t="e">
        <f>+'Measurment 3rd floor'!#REF!</f>
        <v>#REF!</v>
      </c>
      <c r="D480" s="29"/>
      <c r="E480" s="15"/>
      <c r="F480" s="5" t="e">
        <f>+'Measurment 3rd floor'!#REF!</f>
        <v>#REF!</v>
      </c>
    </row>
    <row r="481" spans="1:6" ht="13.5" customHeight="1" x14ac:dyDescent="0.3">
      <c r="A481" s="29"/>
      <c r="B481" s="15"/>
      <c r="C481" s="5" t="e">
        <f>+'Measurment 3rd floor'!#REF!</f>
        <v>#REF!</v>
      </c>
      <c r="D481" s="29"/>
      <c r="E481" s="15"/>
      <c r="F481" s="5" t="e">
        <f>+'Measurment 3rd floor'!#REF!</f>
        <v>#REF!</v>
      </c>
    </row>
    <row r="482" spans="1:6" ht="13.5" customHeight="1" x14ac:dyDescent="0.3">
      <c r="A482" s="29"/>
      <c r="B482" s="15"/>
      <c r="C482" s="5" t="e">
        <f>+'Measurment 3rd floor'!#REF!</f>
        <v>#REF!</v>
      </c>
      <c r="D482" s="29"/>
      <c r="E482" s="15"/>
      <c r="F482" s="5" t="e">
        <f>+'Measurment 3rd floor'!#REF!</f>
        <v>#REF!</v>
      </c>
    </row>
    <row r="483" spans="1:6" ht="13.5" customHeight="1" x14ac:dyDescent="0.3">
      <c r="A483" s="29"/>
      <c r="B483" s="15"/>
      <c r="C483" s="5" t="e">
        <f>+'Measurment 3rd floor'!#REF!</f>
        <v>#REF!</v>
      </c>
      <c r="D483" s="29"/>
      <c r="E483" s="15"/>
      <c r="F483" s="5" t="e">
        <f>+'Measurment 3rd floor'!#REF!</f>
        <v>#REF!</v>
      </c>
    </row>
    <row r="484" spans="1:6" ht="13.5" customHeight="1" x14ac:dyDescent="0.3">
      <c r="A484" s="29"/>
      <c r="B484" s="15"/>
      <c r="C484" s="5" t="e">
        <f>+'Measurment 3rd floor'!#REF!</f>
        <v>#REF!</v>
      </c>
      <c r="D484" s="29"/>
      <c r="E484" s="15"/>
      <c r="F484" s="5" t="e">
        <f>+'Measurment 3rd floor'!#REF!</f>
        <v>#REF!</v>
      </c>
    </row>
    <row r="485" spans="1:6" ht="13.5" customHeight="1" x14ac:dyDescent="0.3">
      <c r="A485" s="29"/>
      <c r="B485" s="15"/>
      <c r="C485" s="5" t="e">
        <f>+'Measurment 3rd floor'!#REF!</f>
        <v>#REF!</v>
      </c>
      <c r="D485" s="29"/>
      <c r="E485" s="15"/>
      <c r="F485" s="5" t="e">
        <f>+'Measurment 3rd floor'!#REF!</f>
        <v>#REF!</v>
      </c>
    </row>
    <row r="486" spans="1:6" ht="13.5" customHeight="1" x14ac:dyDescent="0.3">
      <c r="A486" s="29"/>
      <c r="B486" s="15"/>
      <c r="C486" s="5" t="e">
        <f>+'Measurment 3rd floor'!#REF!</f>
        <v>#REF!</v>
      </c>
      <c r="D486" s="29"/>
      <c r="E486" s="15"/>
      <c r="F486" s="5" t="e">
        <f>+'Measurment 3rd floor'!#REF!</f>
        <v>#REF!</v>
      </c>
    </row>
    <row r="487" spans="1:6" ht="13.5" customHeight="1" x14ac:dyDescent="0.3">
      <c r="A487" s="29"/>
      <c r="B487" s="15"/>
      <c r="C487" s="5" t="e">
        <f>+'Measurment 3rd floor'!#REF!</f>
        <v>#REF!</v>
      </c>
      <c r="D487" s="29"/>
      <c r="E487" s="17"/>
      <c r="F487" s="5" t="e">
        <f>+'Measurment 3rd floor'!#REF!</f>
        <v>#REF!</v>
      </c>
    </row>
    <row r="488" spans="1:6" ht="13.5" customHeight="1" x14ac:dyDescent="0.3">
      <c r="A488" s="29"/>
      <c r="B488" s="15"/>
      <c r="C488" s="5" t="e">
        <f>+'Measurment 3rd floor'!#REF!</f>
        <v>#REF!</v>
      </c>
      <c r="D488" s="29"/>
      <c r="E488" s="15"/>
      <c r="F488" s="5" t="e">
        <f>+'Measurment 3rd floor'!#REF!</f>
        <v>#REF!</v>
      </c>
    </row>
    <row r="489" spans="1:6" ht="13.5" customHeight="1" x14ac:dyDescent="0.3">
      <c r="A489" s="29"/>
      <c r="B489" s="15"/>
      <c r="C489" s="5" t="e">
        <f>+'Measurment 3rd floor'!#REF!</f>
        <v>#REF!</v>
      </c>
      <c r="D489" s="29"/>
      <c r="E489" s="15"/>
      <c r="F489" s="5" t="e">
        <f>+'Measurment 3rd floor'!#REF!</f>
        <v>#REF!</v>
      </c>
    </row>
    <row r="490" spans="1:6" ht="13.5" customHeight="1" x14ac:dyDescent="0.3">
      <c r="A490" s="29"/>
      <c r="B490" s="15"/>
      <c r="C490" s="5" t="e">
        <f>+'Measurment 3rd floor'!#REF!</f>
        <v>#REF!</v>
      </c>
      <c r="D490" s="29"/>
      <c r="E490" s="15"/>
      <c r="F490" s="5" t="e">
        <f>+'Measurment 3rd floor'!#REF!</f>
        <v>#REF!</v>
      </c>
    </row>
    <row r="491" spans="1:6" ht="13.5" customHeight="1" x14ac:dyDescent="0.3">
      <c r="A491" s="29"/>
      <c r="B491" s="15"/>
      <c r="C491" s="5" t="e">
        <f>+'Measurment 3rd floor'!#REF!</f>
        <v>#REF!</v>
      </c>
      <c r="D491" s="29"/>
      <c r="E491" s="15"/>
      <c r="F491" s="5" t="e">
        <f>+'Measurment 3rd floor'!#REF!</f>
        <v>#REF!</v>
      </c>
    </row>
    <row r="492" spans="1:6" ht="13.5" customHeight="1" x14ac:dyDescent="0.3">
      <c r="A492" s="29"/>
      <c r="B492" s="15"/>
      <c r="C492" s="5" t="e">
        <f>+'Measurment 3rd floor'!#REF!</f>
        <v>#REF!</v>
      </c>
      <c r="D492" s="29"/>
      <c r="E492" s="15"/>
      <c r="F492" s="5" t="e">
        <f>+'Measurment 3rd floor'!#REF!</f>
        <v>#REF!</v>
      </c>
    </row>
    <row r="493" spans="1:6" ht="13.5" customHeight="1" x14ac:dyDescent="0.3">
      <c r="A493" s="29"/>
      <c r="B493" s="15"/>
      <c r="C493" s="5" t="e">
        <f>+'Measurment 3rd floor'!#REF!</f>
        <v>#REF!</v>
      </c>
      <c r="D493" s="29"/>
      <c r="E493" s="15"/>
      <c r="F493" s="5" t="e">
        <f>+'Measurment 3rd floor'!#REF!</f>
        <v>#REF!</v>
      </c>
    </row>
    <row r="494" spans="1:6" ht="13.5" customHeight="1" x14ac:dyDescent="0.3">
      <c r="A494" s="29"/>
      <c r="B494" s="15"/>
      <c r="C494" s="5" t="e">
        <f>+'Measurment 3rd floor'!#REF!</f>
        <v>#REF!</v>
      </c>
      <c r="D494" s="29"/>
      <c r="E494" s="15"/>
      <c r="F494" s="5" t="e">
        <f>+'Measurment 3rd floor'!#REF!</f>
        <v>#REF!</v>
      </c>
    </row>
    <row r="495" spans="1:6" ht="13.5" customHeight="1" x14ac:dyDescent="0.3">
      <c r="A495" s="29"/>
      <c r="B495" s="15"/>
      <c r="C495" s="5" t="e">
        <f>+'Measurment 3rd floor'!#REF!</f>
        <v>#REF!</v>
      </c>
      <c r="D495" s="29"/>
      <c r="E495" s="15"/>
      <c r="F495" s="5" t="e">
        <f>+'Measurment 3rd floor'!#REF!</f>
        <v>#REF!</v>
      </c>
    </row>
    <row r="496" spans="1:6" ht="13.5" customHeight="1" x14ac:dyDescent="0.3">
      <c r="A496" s="29"/>
      <c r="B496" s="15"/>
      <c r="C496" s="5" t="e">
        <f>+'Measurment 3rd floor'!#REF!</f>
        <v>#REF!</v>
      </c>
      <c r="D496" s="29"/>
      <c r="E496" s="15"/>
      <c r="F496" s="5" t="e">
        <f>+'Measurment 3rd floor'!#REF!</f>
        <v>#REF!</v>
      </c>
    </row>
    <row r="497" spans="1:6" ht="13.5" customHeight="1" x14ac:dyDescent="0.3">
      <c r="A497" s="29"/>
      <c r="B497" s="15"/>
      <c r="C497" s="5" t="e">
        <f>+'Measurment 3rd floor'!#REF!</f>
        <v>#REF!</v>
      </c>
      <c r="D497" s="29"/>
      <c r="E497" s="15"/>
      <c r="F497" s="5" t="e">
        <f>+'Measurment 3rd floor'!#REF!</f>
        <v>#REF!</v>
      </c>
    </row>
    <row r="498" spans="1:6" ht="13.5" customHeight="1" x14ac:dyDescent="0.3">
      <c r="A498" s="29"/>
      <c r="B498" s="15"/>
      <c r="C498" s="5" t="e">
        <f>+'Measurment 3rd floor'!#REF!</f>
        <v>#REF!</v>
      </c>
      <c r="D498" s="29"/>
      <c r="E498" s="15"/>
      <c r="F498" s="5" t="e">
        <f>+'Measurment 3rd floor'!#REF!</f>
        <v>#REF!</v>
      </c>
    </row>
    <row r="499" spans="1:6" ht="13.5" customHeight="1" x14ac:dyDescent="0.3">
      <c r="A499" s="29"/>
      <c r="B499" s="15"/>
      <c r="C499" s="5" t="e">
        <f>+'Measurment 3rd floor'!#REF!</f>
        <v>#REF!</v>
      </c>
      <c r="D499" s="29"/>
      <c r="E499" s="15"/>
      <c r="F499" s="5" t="e">
        <f>+'Measurment 3rd floor'!#REF!</f>
        <v>#REF!</v>
      </c>
    </row>
    <row r="500" spans="1:6" ht="13.5" customHeight="1" x14ac:dyDescent="0.3">
      <c r="A500" s="29"/>
      <c r="B500" s="15"/>
      <c r="C500" s="5" t="e">
        <f>+'Measurment 3rd floor'!#REF!</f>
        <v>#REF!</v>
      </c>
      <c r="D500" s="29"/>
      <c r="E500" s="15"/>
      <c r="F500" s="5" t="e">
        <f>+'Measurment 3rd floor'!#REF!</f>
        <v>#REF!</v>
      </c>
    </row>
    <row r="501" spans="1:6" ht="13.5" customHeight="1" x14ac:dyDescent="0.3">
      <c r="A501" s="29"/>
      <c r="B501" s="15"/>
      <c r="C501" s="5" t="e">
        <f>+'Measurment 3rd floor'!#REF!</f>
        <v>#REF!</v>
      </c>
      <c r="D501" s="29"/>
      <c r="E501" s="15"/>
      <c r="F501" s="5" t="e">
        <f>+'Measurment 3rd floor'!#REF!</f>
        <v>#REF!</v>
      </c>
    </row>
    <row r="502" spans="1:6" ht="13.5" customHeight="1" x14ac:dyDescent="0.3">
      <c r="A502" s="29"/>
      <c r="B502" s="15"/>
      <c r="C502" s="5" t="e">
        <f>+'Measurment 3rd floor'!#REF!</f>
        <v>#REF!</v>
      </c>
      <c r="D502" s="29"/>
      <c r="E502" s="15"/>
      <c r="F502" s="5" t="e">
        <f>+'Measurment 3rd floor'!#REF!</f>
        <v>#REF!</v>
      </c>
    </row>
    <row r="503" spans="1:6" ht="13.5" customHeight="1" x14ac:dyDescent="0.3">
      <c r="A503" s="29"/>
      <c r="B503" s="17"/>
      <c r="C503" s="5" t="e">
        <f>+'Measurment 3rd floor'!#REF!</f>
        <v>#REF!</v>
      </c>
      <c r="D503" s="29"/>
      <c r="E503" s="2" t="s">
        <v>49</v>
      </c>
      <c r="F503" s="2" t="e">
        <f>SUM(F450:F502)</f>
        <v>#REF!</v>
      </c>
    </row>
    <row r="504" spans="1:6" ht="13.5" customHeight="1" x14ac:dyDescent="0.3">
      <c r="A504" s="29"/>
      <c r="B504" s="15"/>
      <c r="C504" s="5" t="e">
        <f>+'Measurment 3rd floor'!#REF!</f>
        <v>#REF!</v>
      </c>
      <c r="D504" s="29"/>
      <c r="E504" s="15"/>
      <c r="F504" s="5"/>
    </row>
    <row r="505" spans="1:6" ht="13.5" customHeight="1" x14ac:dyDescent="0.3">
      <c r="A505" s="29"/>
      <c r="B505" s="15"/>
      <c r="C505" s="5" t="e">
        <f>+'Measurment 3rd floor'!#REF!</f>
        <v>#REF!</v>
      </c>
      <c r="D505" s="29"/>
      <c r="E505" s="15"/>
      <c r="F505" s="5"/>
    </row>
    <row r="506" spans="1:6" ht="13.5" customHeight="1" x14ac:dyDescent="0.3">
      <c r="A506" s="29"/>
      <c r="B506" s="16" t="s">
        <v>60</v>
      </c>
      <c r="C506" s="2" t="e">
        <f>SUM(C450:C505)</f>
        <v>#REF!</v>
      </c>
      <c r="D506" s="29"/>
      <c r="E506" s="15"/>
      <c r="F506" s="5"/>
    </row>
    <row r="507" spans="1:6" ht="13.5" customHeight="1" x14ac:dyDescent="0.3">
      <c r="A507" s="29">
        <f>+D416+1</f>
        <v>40</v>
      </c>
      <c r="B507" s="33" t="s">
        <v>25</v>
      </c>
      <c r="C507" s="5">
        <f>+'Measurment 3rd floor'!G157</f>
        <v>166.79</v>
      </c>
      <c r="D507" s="29"/>
      <c r="E507" s="16" t="s">
        <v>61</v>
      </c>
      <c r="F507" s="2" t="e">
        <f>+C561</f>
        <v>#REF!</v>
      </c>
    </row>
    <row r="508" spans="1:6" ht="13.5" customHeight="1" x14ac:dyDescent="0.3">
      <c r="A508" s="29"/>
      <c r="B508" s="15"/>
      <c r="C508" s="5">
        <f>+'Measurment 3rd floor'!G173</f>
        <v>0</v>
      </c>
      <c r="D508" s="29"/>
      <c r="E508" s="15"/>
      <c r="F508" s="5" t="e">
        <f>+'Measurment 3rd floor'!#REF!</f>
        <v>#REF!</v>
      </c>
    </row>
    <row r="509" spans="1:6" ht="13.5" customHeight="1" x14ac:dyDescent="0.3">
      <c r="A509" s="29"/>
      <c r="B509" s="15"/>
      <c r="C509" s="5" t="e">
        <f>+'Measurment 3rd floor'!#REF!</f>
        <v>#REF!</v>
      </c>
      <c r="D509" s="29"/>
      <c r="E509" s="15"/>
      <c r="F509" s="5" t="e">
        <f>+'Measurment 3rd floor'!#REF!</f>
        <v>#REF!</v>
      </c>
    </row>
    <row r="510" spans="1:6" ht="13.5" customHeight="1" x14ac:dyDescent="0.3">
      <c r="A510" s="29"/>
      <c r="B510" s="15"/>
      <c r="C510" s="5">
        <f>+'Measurment 3rd floor'!G206</f>
        <v>44.66</v>
      </c>
      <c r="D510" s="29"/>
      <c r="E510" s="15"/>
      <c r="F510" s="5" t="e">
        <f>+'Measurment 3rd floor'!#REF!</f>
        <v>#REF!</v>
      </c>
    </row>
    <row r="511" spans="1:6" ht="13.5" customHeight="1" x14ac:dyDescent="0.3">
      <c r="A511" s="29"/>
      <c r="B511" s="15"/>
      <c r="C511" s="5">
        <f>+'Measurment 3rd floor'!G223</f>
        <v>0</v>
      </c>
      <c r="D511" s="29"/>
      <c r="E511" s="15"/>
      <c r="F511" s="5" t="e">
        <f>+'Measurment 3rd floor'!#REF!</f>
        <v>#REF!</v>
      </c>
    </row>
    <row r="512" spans="1:6" ht="13.5" customHeight="1" x14ac:dyDescent="0.3">
      <c r="A512" s="29"/>
      <c r="B512" s="15"/>
      <c r="C512" s="5">
        <f>+'Measurment 3rd floor'!G267</f>
        <v>0.5</v>
      </c>
      <c r="D512" s="29"/>
      <c r="E512" s="15"/>
      <c r="F512" s="5" t="e">
        <f>+'Measurment 3rd floor'!#REF!</f>
        <v>#REF!</v>
      </c>
    </row>
    <row r="513" spans="1:6" ht="13.5" customHeight="1" x14ac:dyDescent="0.3">
      <c r="A513" s="29"/>
      <c r="B513" s="15"/>
      <c r="C513" s="5">
        <f>+'Measurment 3rd floor'!G402</f>
        <v>0</v>
      </c>
      <c r="D513" s="29"/>
      <c r="E513" s="15"/>
      <c r="F513" s="5" t="e">
        <f>+'Measurment 3rd floor'!#REF!</f>
        <v>#REF!</v>
      </c>
    </row>
    <row r="514" spans="1:6" ht="13.5" customHeight="1" x14ac:dyDescent="0.3">
      <c r="A514" s="29"/>
      <c r="B514" s="15"/>
      <c r="C514" s="5">
        <f>+'Measurment 3rd floor'!G610</f>
        <v>20.94</v>
      </c>
      <c r="D514" s="29"/>
      <c r="E514" s="15"/>
      <c r="F514" s="5" t="e">
        <f>+'Measurment 3rd floor'!#REF!</f>
        <v>#REF!</v>
      </c>
    </row>
    <row r="515" spans="1:6" ht="13.5" customHeight="1" x14ac:dyDescent="0.3">
      <c r="A515" s="29"/>
      <c r="B515" s="15"/>
      <c r="C515" s="5" t="e">
        <f>+'Measurment 3rd floor'!#REF!</f>
        <v>#REF!</v>
      </c>
      <c r="D515" s="29"/>
      <c r="E515" s="15"/>
      <c r="F515" s="5" t="e">
        <f>+'Measurment 3rd floor'!#REF!</f>
        <v>#REF!</v>
      </c>
    </row>
    <row r="516" spans="1:6" ht="13.5" customHeight="1" x14ac:dyDescent="0.3">
      <c r="A516" s="29"/>
      <c r="B516" s="15"/>
      <c r="C516" s="5" t="e">
        <f>+'Measurment 3rd floor'!#REF!</f>
        <v>#REF!</v>
      </c>
      <c r="D516" s="29"/>
      <c r="E516" s="17"/>
      <c r="F516" s="5" t="e">
        <f>+'Measurment 3rd floor'!#REF!</f>
        <v>#REF!</v>
      </c>
    </row>
    <row r="517" spans="1:6" ht="13.5" customHeight="1" x14ac:dyDescent="0.3">
      <c r="A517" s="29"/>
      <c r="B517" s="15"/>
      <c r="C517" s="5" t="e">
        <f>+'Measurment 3rd floor'!#REF!</f>
        <v>#REF!</v>
      </c>
      <c r="D517" s="29"/>
      <c r="E517" s="15"/>
      <c r="F517" s="5" t="e">
        <f>+'Measurment 3rd floor'!#REF!</f>
        <v>#REF!</v>
      </c>
    </row>
    <row r="518" spans="1:6" ht="13.5" customHeight="1" x14ac:dyDescent="0.3">
      <c r="A518" s="29"/>
      <c r="B518" s="15"/>
      <c r="C518" s="5" t="e">
        <f>+'Measurment 3rd floor'!#REF!</f>
        <v>#REF!</v>
      </c>
      <c r="D518" s="29"/>
      <c r="E518" s="15"/>
      <c r="F518" s="5" t="e">
        <f>+'Measurment 3rd floor'!#REF!</f>
        <v>#REF!</v>
      </c>
    </row>
    <row r="519" spans="1:6" ht="13.5" customHeight="1" x14ac:dyDescent="0.3">
      <c r="A519" s="29"/>
      <c r="B519" s="15"/>
      <c r="C519" s="5" t="e">
        <f>+'Measurment 3rd floor'!#REF!</f>
        <v>#REF!</v>
      </c>
      <c r="D519" s="29"/>
      <c r="E519" s="15"/>
      <c r="F519" s="5" t="e">
        <f>+'Measurment 3rd floor'!#REF!</f>
        <v>#REF!</v>
      </c>
    </row>
    <row r="520" spans="1:6" ht="13.5" customHeight="1" x14ac:dyDescent="0.3">
      <c r="A520" s="29"/>
      <c r="B520" s="15"/>
      <c r="C520" s="5" t="e">
        <f>+'Measurment 3rd floor'!#REF!</f>
        <v>#REF!</v>
      </c>
      <c r="D520" s="29"/>
      <c r="E520" s="15"/>
      <c r="F520" s="5" t="e">
        <f>+'Measurment 3rd floor'!#REF!</f>
        <v>#REF!</v>
      </c>
    </row>
    <row r="521" spans="1:6" ht="13.5" customHeight="1" x14ac:dyDescent="0.3">
      <c r="A521" s="29"/>
      <c r="B521" s="15"/>
      <c r="C521" s="5" t="e">
        <f>+'Measurment 3rd floor'!#REF!</f>
        <v>#REF!</v>
      </c>
      <c r="D521" s="29"/>
      <c r="E521" s="15"/>
      <c r="F521" s="5" t="e">
        <f>+'Measurment 3rd floor'!#REF!</f>
        <v>#REF!</v>
      </c>
    </row>
    <row r="522" spans="1:6" ht="13.5" customHeight="1" x14ac:dyDescent="0.3">
      <c r="A522" s="29"/>
      <c r="B522" s="15"/>
      <c r="C522" s="5" t="e">
        <f>+'Measurment 3rd floor'!#REF!</f>
        <v>#REF!</v>
      </c>
      <c r="D522" s="29"/>
      <c r="E522" s="15"/>
      <c r="F522" s="5" t="e">
        <f>+'Measurment 3rd floor'!#REF!</f>
        <v>#REF!</v>
      </c>
    </row>
    <row r="523" spans="1:6" ht="13.5" customHeight="1" x14ac:dyDescent="0.3">
      <c r="A523" s="29"/>
      <c r="B523" s="15"/>
      <c r="C523" s="5" t="e">
        <f>+'Measurment 3rd floor'!#REF!</f>
        <v>#REF!</v>
      </c>
      <c r="D523" s="29"/>
      <c r="E523" s="15"/>
      <c r="F523" s="5" t="e">
        <f>+'Measurment 3rd floor'!#REF!</f>
        <v>#REF!</v>
      </c>
    </row>
    <row r="524" spans="1:6" ht="13.5" customHeight="1" x14ac:dyDescent="0.3">
      <c r="A524" s="29"/>
      <c r="B524" s="15"/>
      <c r="C524" s="5" t="e">
        <f>+'Measurment 3rd floor'!#REF!</f>
        <v>#REF!</v>
      </c>
      <c r="D524" s="29"/>
      <c r="E524" s="15"/>
      <c r="F524" s="5" t="e">
        <f>+'Measurment 3rd floor'!#REF!</f>
        <v>#REF!</v>
      </c>
    </row>
    <row r="525" spans="1:6" ht="13.5" customHeight="1" x14ac:dyDescent="0.3">
      <c r="A525" s="29"/>
      <c r="B525" s="15"/>
      <c r="C525" s="5" t="e">
        <f>+'Measurment 3rd floor'!#REF!</f>
        <v>#REF!</v>
      </c>
      <c r="D525" s="29"/>
      <c r="E525" s="15"/>
      <c r="F525" s="5" t="e">
        <f>+'Measurment 3rd floor'!#REF!</f>
        <v>#REF!</v>
      </c>
    </row>
    <row r="526" spans="1:6" ht="13.5" customHeight="1" x14ac:dyDescent="0.3">
      <c r="A526" s="29"/>
      <c r="B526" s="15"/>
      <c r="C526" s="5" t="e">
        <f>+'Measurment 3rd floor'!#REF!</f>
        <v>#REF!</v>
      </c>
      <c r="D526" s="29"/>
      <c r="E526" s="15"/>
      <c r="F526" s="5" t="e">
        <f>+'Measurment 3rd floor'!#REF!</f>
        <v>#REF!</v>
      </c>
    </row>
    <row r="527" spans="1:6" ht="13.5" customHeight="1" x14ac:dyDescent="0.3">
      <c r="A527" s="29"/>
      <c r="B527" s="15"/>
      <c r="C527" s="5" t="e">
        <f>+'Measurment 3rd floor'!#REF!</f>
        <v>#REF!</v>
      </c>
      <c r="D527" s="29"/>
      <c r="E527" s="15"/>
      <c r="F527" s="5" t="e">
        <f>+'Measurment 3rd floor'!#REF!</f>
        <v>#REF!</v>
      </c>
    </row>
    <row r="528" spans="1:6" ht="13.5" customHeight="1" x14ac:dyDescent="0.3">
      <c r="A528" s="29"/>
      <c r="B528" s="15"/>
      <c r="C528" s="5" t="e">
        <f>+'Measurment 3rd floor'!#REF!</f>
        <v>#REF!</v>
      </c>
      <c r="D528" s="29"/>
      <c r="E528" s="15"/>
      <c r="F528" s="5" t="e">
        <f>+'Measurment 3rd floor'!#REF!</f>
        <v>#REF!</v>
      </c>
    </row>
    <row r="529" spans="1:6" ht="13.5" customHeight="1" x14ac:dyDescent="0.3">
      <c r="A529" s="29"/>
      <c r="B529" s="15"/>
      <c r="C529" s="5" t="e">
        <f>+'Measurment 3rd floor'!#REF!</f>
        <v>#REF!</v>
      </c>
      <c r="D529" s="29"/>
      <c r="E529" s="15"/>
      <c r="F529" s="5" t="e">
        <f>+'Measurment 3rd floor'!#REF!</f>
        <v>#REF!</v>
      </c>
    </row>
    <row r="530" spans="1:6" ht="13.5" customHeight="1" x14ac:dyDescent="0.3">
      <c r="A530" s="29"/>
      <c r="B530" s="15"/>
      <c r="C530" s="5" t="e">
        <f>+'Measurment 3rd floor'!#REF!</f>
        <v>#REF!</v>
      </c>
      <c r="D530" s="29"/>
      <c r="E530" s="15"/>
      <c r="F530" s="5" t="e">
        <f>+'Measurment 3rd floor'!#REF!</f>
        <v>#REF!</v>
      </c>
    </row>
    <row r="531" spans="1:6" ht="13.5" customHeight="1" x14ac:dyDescent="0.3">
      <c r="A531" s="29"/>
      <c r="B531" s="15"/>
      <c r="C531" s="5" t="e">
        <f>+'Measurment 3rd floor'!#REF!</f>
        <v>#REF!</v>
      </c>
      <c r="D531" s="29"/>
      <c r="E531" s="15"/>
      <c r="F531" s="5" t="e">
        <f>+'Measurment 3rd floor'!#REF!</f>
        <v>#REF!</v>
      </c>
    </row>
    <row r="532" spans="1:6" ht="13.5" customHeight="1" x14ac:dyDescent="0.3">
      <c r="A532" s="29"/>
      <c r="B532" s="15"/>
      <c r="C532" s="5" t="e">
        <f>+'Measurment 3rd floor'!#REF!</f>
        <v>#REF!</v>
      </c>
      <c r="D532" s="29"/>
      <c r="E532" s="15"/>
      <c r="F532" s="5" t="e">
        <f>+'Measurment 3rd floor'!#REF!</f>
        <v>#REF!</v>
      </c>
    </row>
    <row r="533" spans="1:6" ht="13.5" customHeight="1" x14ac:dyDescent="0.3">
      <c r="A533" s="29"/>
      <c r="B533" s="15"/>
      <c r="C533" s="5" t="e">
        <f>+'Measurment 3rd floor'!#REF!</f>
        <v>#REF!</v>
      </c>
      <c r="D533" s="29"/>
      <c r="E533" s="15"/>
      <c r="F533" s="5" t="e">
        <f>+'Measurment 3rd floor'!#REF!</f>
        <v>#REF!</v>
      </c>
    </row>
    <row r="534" spans="1:6" ht="13.5" customHeight="1" x14ac:dyDescent="0.3">
      <c r="A534" s="29"/>
      <c r="B534" s="15"/>
      <c r="C534" s="5" t="e">
        <f>+'Measurment 3rd floor'!#REF!</f>
        <v>#REF!</v>
      </c>
      <c r="D534" s="29"/>
      <c r="E534" s="15"/>
      <c r="F534" s="5" t="e">
        <f>+'Measurment 3rd floor'!#REF!</f>
        <v>#REF!</v>
      </c>
    </row>
    <row r="535" spans="1:6" ht="13.5" customHeight="1" x14ac:dyDescent="0.3">
      <c r="A535" s="29"/>
      <c r="B535" s="15"/>
      <c r="C535" s="5" t="e">
        <f>+'Measurment 3rd floor'!#REF!</f>
        <v>#REF!</v>
      </c>
      <c r="D535" s="29"/>
      <c r="E535" s="15"/>
      <c r="F535" s="5" t="e">
        <f>+'Measurment 3rd floor'!#REF!</f>
        <v>#REF!</v>
      </c>
    </row>
    <row r="536" spans="1:6" ht="13.5" customHeight="1" x14ac:dyDescent="0.3">
      <c r="A536" s="29"/>
      <c r="B536" s="15"/>
      <c r="C536" s="5" t="e">
        <f>+'Measurment 3rd floor'!#REF!</f>
        <v>#REF!</v>
      </c>
      <c r="D536" s="29"/>
      <c r="E536" s="15"/>
      <c r="F536" s="5" t="e">
        <f>+'Measurment 3rd floor'!#REF!</f>
        <v>#REF!</v>
      </c>
    </row>
    <row r="537" spans="1:6" ht="13.5" customHeight="1" x14ac:dyDescent="0.3">
      <c r="A537" s="29"/>
      <c r="B537" s="15"/>
      <c r="C537" s="5" t="e">
        <f>+'Measurment 3rd floor'!#REF!</f>
        <v>#REF!</v>
      </c>
      <c r="D537" s="29"/>
      <c r="E537" s="15"/>
      <c r="F537" s="5" t="e">
        <f>+'Measurment 3rd floor'!#REF!</f>
        <v>#REF!</v>
      </c>
    </row>
    <row r="538" spans="1:6" ht="13.5" customHeight="1" x14ac:dyDescent="0.3">
      <c r="A538" s="29"/>
      <c r="B538" s="15"/>
      <c r="C538" s="5" t="e">
        <f>+'Measurment 3rd floor'!#REF!</f>
        <v>#REF!</v>
      </c>
      <c r="D538" s="29"/>
      <c r="E538" s="15"/>
      <c r="F538" s="5" t="e">
        <f>+'Measurment 3rd floor'!#REF!</f>
        <v>#REF!</v>
      </c>
    </row>
    <row r="539" spans="1:6" ht="13.5" customHeight="1" x14ac:dyDescent="0.3">
      <c r="A539" s="29"/>
      <c r="B539" s="15"/>
      <c r="C539" s="5" t="e">
        <f>+'Measurment 3rd floor'!#REF!</f>
        <v>#REF!</v>
      </c>
      <c r="D539" s="29"/>
      <c r="E539" s="15"/>
      <c r="F539" s="5" t="e">
        <f>+'Measurment 3rd floor'!#REF!</f>
        <v>#REF!</v>
      </c>
    </row>
    <row r="540" spans="1:6" ht="13.5" customHeight="1" x14ac:dyDescent="0.3">
      <c r="A540" s="29"/>
      <c r="B540" s="15"/>
      <c r="C540" s="5" t="e">
        <f>+'Measurment 3rd floor'!#REF!</f>
        <v>#REF!</v>
      </c>
      <c r="D540" s="29"/>
      <c r="E540" s="15"/>
      <c r="F540" s="5" t="e">
        <f>+'Measurment 3rd floor'!#REF!</f>
        <v>#REF!</v>
      </c>
    </row>
    <row r="541" spans="1:6" ht="13.5" customHeight="1" x14ac:dyDescent="0.3">
      <c r="A541" s="29"/>
      <c r="B541" s="15"/>
      <c r="C541" s="5" t="e">
        <f>+'Measurment 3rd floor'!#REF!</f>
        <v>#REF!</v>
      </c>
      <c r="D541" s="29"/>
      <c r="E541" s="15"/>
      <c r="F541" s="5" t="e">
        <f>+'Measurment 3rd floor'!#REF!</f>
        <v>#REF!</v>
      </c>
    </row>
    <row r="542" spans="1:6" ht="13.5" customHeight="1" x14ac:dyDescent="0.3">
      <c r="A542" s="29"/>
      <c r="B542" s="15"/>
      <c r="C542" s="5" t="e">
        <f>+'Measurment 3rd floor'!#REF!</f>
        <v>#REF!</v>
      </c>
      <c r="D542" s="29"/>
      <c r="E542" s="15"/>
      <c r="F542" s="5" t="e">
        <f>+'Measurment 3rd floor'!#REF!</f>
        <v>#REF!</v>
      </c>
    </row>
    <row r="543" spans="1:6" ht="13.5" customHeight="1" x14ac:dyDescent="0.3">
      <c r="A543" s="29"/>
      <c r="B543" s="15"/>
      <c r="C543" s="5" t="e">
        <f>+'Measurment 3rd floor'!#REF!</f>
        <v>#REF!</v>
      </c>
      <c r="D543" s="29"/>
      <c r="E543" s="15"/>
      <c r="F543" s="5" t="e">
        <f>+'Measurment 3rd floor'!#REF!</f>
        <v>#REF!</v>
      </c>
    </row>
    <row r="544" spans="1:6" ht="13.5" customHeight="1" x14ac:dyDescent="0.3">
      <c r="A544" s="29"/>
      <c r="B544" s="15"/>
      <c r="C544" s="5" t="e">
        <f>+'Measurment 3rd floor'!#REF!</f>
        <v>#REF!</v>
      </c>
      <c r="D544" s="29"/>
      <c r="E544" s="15"/>
      <c r="F544" s="5" t="e">
        <f>+'Measurment 3rd floor'!#REF!</f>
        <v>#REF!</v>
      </c>
    </row>
    <row r="545" spans="1:6" ht="13.5" customHeight="1" x14ac:dyDescent="0.3">
      <c r="A545" s="29"/>
      <c r="B545" s="15"/>
      <c r="C545" s="5" t="e">
        <f>+'Measurment 3rd floor'!#REF!</f>
        <v>#REF!</v>
      </c>
      <c r="D545" s="29"/>
      <c r="E545" s="15"/>
      <c r="F545" s="5" t="e">
        <f>+'Measurment 3rd floor'!#REF!</f>
        <v>#REF!</v>
      </c>
    </row>
    <row r="546" spans="1:6" ht="13.5" customHeight="1" x14ac:dyDescent="0.3">
      <c r="A546" s="29"/>
      <c r="B546" s="15"/>
      <c r="C546" s="5" t="e">
        <f>+'Measurment 3rd floor'!#REF!</f>
        <v>#REF!</v>
      </c>
      <c r="D546" s="29"/>
      <c r="E546" s="15"/>
      <c r="F546" s="5" t="e">
        <f>+'Measurment 3rd floor'!#REF!</f>
        <v>#REF!</v>
      </c>
    </row>
    <row r="547" spans="1:6" ht="13.5" customHeight="1" x14ac:dyDescent="0.3">
      <c r="A547" s="29"/>
      <c r="B547" s="15"/>
      <c r="C547" s="5" t="e">
        <f>+'Measurment 3rd floor'!#REF!</f>
        <v>#REF!</v>
      </c>
      <c r="D547" s="29"/>
      <c r="E547" s="15"/>
      <c r="F547" s="5" t="e">
        <f>+'Measurment 3rd floor'!#REF!</f>
        <v>#REF!</v>
      </c>
    </row>
    <row r="548" spans="1:6" ht="13.5" customHeight="1" x14ac:dyDescent="0.3">
      <c r="A548" s="29"/>
      <c r="B548" s="17"/>
      <c r="C548" s="5" t="e">
        <f>+'Measurment 3rd floor'!#REF!</f>
        <v>#REF!</v>
      </c>
      <c r="D548" s="29"/>
      <c r="E548" s="15"/>
      <c r="F548" s="5" t="e">
        <f>+'Measurment 3rd floor'!#REF!</f>
        <v>#REF!</v>
      </c>
    </row>
    <row r="549" spans="1:6" ht="13.5" customHeight="1" x14ac:dyDescent="0.3">
      <c r="A549" s="29"/>
      <c r="B549" s="15"/>
      <c r="C549" s="5" t="e">
        <f>+'Measurment 3rd floor'!#REF!</f>
        <v>#REF!</v>
      </c>
      <c r="D549" s="29"/>
      <c r="E549" s="15"/>
      <c r="F549" s="5" t="e">
        <f>+'Measurment 3rd floor'!#REF!</f>
        <v>#REF!</v>
      </c>
    </row>
    <row r="550" spans="1:6" ht="13.5" customHeight="1" x14ac:dyDescent="0.3">
      <c r="A550" s="29"/>
      <c r="B550" s="15"/>
      <c r="C550" s="5" t="e">
        <f>+'Measurment 3rd floor'!#REF!</f>
        <v>#REF!</v>
      </c>
      <c r="D550" s="29"/>
      <c r="E550" s="15"/>
      <c r="F550" s="5" t="e">
        <f>+'Measurment 3rd floor'!#REF!</f>
        <v>#REF!</v>
      </c>
    </row>
    <row r="551" spans="1:6" ht="13.5" customHeight="1" x14ac:dyDescent="0.3">
      <c r="A551" s="29"/>
      <c r="B551" s="15"/>
      <c r="C551" s="5" t="e">
        <f>+'Measurment 3rd floor'!#REF!</f>
        <v>#REF!</v>
      </c>
      <c r="D551" s="29"/>
      <c r="E551" s="15"/>
      <c r="F551" s="5" t="e">
        <f>+'Measurment 3rd floor'!#REF!</f>
        <v>#REF!</v>
      </c>
    </row>
    <row r="552" spans="1:6" ht="13.5" customHeight="1" x14ac:dyDescent="0.3">
      <c r="A552" s="29"/>
      <c r="B552" s="15"/>
      <c r="C552" s="5" t="e">
        <f>+'Measurment 3rd floor'!#REF!</f>
        <v>#REF!</v>
      </c>
      <c r="D552" s="29"/>
      <c r="E552" s="15"/>
      <c r="F552" s="5" t="e">
        <f>+'Measurment 3rd floor'!#REF!</f>
        <v>#REF!</v>
      </c>
    </row>
    <row r="553" spans="1:6" ht="13.5" customHeight="1" x14ac:dyDescent="0.3">
      <c r="A553" s="29"/>
      <c r="B553" s="15"/>
      <c r="C553" s="5" t="e">
        <f>+'Measurment 3rd floor'!#REF!</f>
        <v>#REF!</v>
      </c>
      <c r="D553" s="29"/>
      <c r="E553" s="15"/>
      <c r="F553" s="5" t="e">
        <f>+'Measurment 3rd floor'!#REF!</f>
        <v>#REF!</v>
      </c>
    </row>
    <row r="554" spans="1:6" ht="13.5" customHeight="1" x14ac:dyDescent="0.3">
      <c r="A554" s="29"/>
      <c r="B554" s="15"/>
      <c r="C554" s="5" t="e">
        <f>+'Measurment 3rd floor'!#REF!</f>
        <v>#REF!</v>
      </c>
      <c r="D554" s="29"/>
      <c r="E554" s="15"/>
      <c r="F554" s="5" t="e">
        <f>+'Measurment 3rd floor'!#REF!</f>
        <v>#REF!</v>
      </c>
    </row>
    <row r="555" spans="1:6" ht="13.5" customHeight="1" x14ac:dyDescent="0.3">
      <c r="A555" s="29"/>
      <c r="B555" s="15"/>
      <c r="C555" s="5" t="e">
        <f>+'Measurment 3rd floor'!#REF!</f>
        <v>#REF!</v>
      </c>
      <c r="D555" s="29"/>
      <c r="E555" s="15"/>
      <c r="F555" s="5" t="e">
        <f>+'Measurment 3rd floor'!#REF!</f>
        <v>#REF!</v>
      </c>
    </row>
    <row r="556" spans="1:6" ht="13.5" customHeight="1" x14ac:dyDescent="0.3">
      <c r="A556" s="29"/>
      <c r="B556" s="15"/>
      <c r="C556" s="5" t="e">
        <f>+'Measurment 3rd floor'!#REF!</f>
        <v>#REF!</v>
      </c>
      <c r="D556" s="29"/>
      <c r="E556" s="15"/>
      <c r="F556" s="5" t="e">
        <f>+'Measurment 3rd floor'!#REF!</f>
        <v>#REF!</v>
      </c>
    </row>
    <row r="557" spans="1:6" ht="13.5" customHeight="1" x14ac:dyDescent="0.3">
      <c r="A557" s="29"/>
      <c r="B557" s="15"/>
      <c r="C557" s="5" t="e">
        <f>+'Measurment 3rd floor'!#REF!</f>
        <v>#REF!</v>
      </c>
      <c r="D557" s="29"/>
      <c r="E557" s="15"/>
      <c r="F557" s="5" t="e">
        <f>+'Measurment 3rd floor'!#REF!</f>
        <v>#REF!</v>
      </c>
    </row>
    <row r="558" spans="1:6" ht="13.5" customHeight="1" x14ac:dyDescent="0.3">
      <c r="A558" s="29"/>
      <c r="B558" s="15"/>
      <c r="C558" s="5" t="e">
        <f>+'Measurment 3rd floor'!#REF!</f>
        <v>#REF!</v>
      </c>
      <c r="D558" s="29"/>
      <c r="E558" s="15"/>
      <c r="F558" s="5" t="e">
        <f>+'Measurment 3rd floor'!#REF!</f>
        <v>#REF!</v>
      </c>
    </row>
    <row r="559" spans="1:6" ht="13.5" customHeight="1" x14ac:dyDescent="0.3">
      <c r="A559" s="29"/>
      <c r="B559" s="15"/>
      <c r="C559" s="5" t="e">
        <f>+'Measurment 3rd floor'!#REF!</f>
        <v>#REF!</v>
      </c>
      <c r="D559" s="29"/>
      <c r="E559" s="2" t="s">
        <v>49</v>
      </c>
      <c r="F559" s="2" t="e">
        <f>SUM(F507:F558)</f>
        <v>#REF!</v>
      </c>
    </row>
    <row r="560" spans="1:6" ht="13.5" customHeight="1" x14ac:dyDescent="0.3">
      <c r="A560" s="29"/>
      <c r="B560" s="15"/>
      <c r="C560" s="5" t="e">
        <f>+'Measurment 3rd floor'!#REF!</f>
        <v>#REF!</v>
      </c>
      <c r="D560" s="29"/>
      <c r="E560" s="15"/>
      <c r="F560" s="5"/>
    </row>
    <row r="561" spans="1:6" ht="13.5" customHeight="1" x14ac:dyDescent="0.3">
      <c r="A561" s="29"/>
      <c r="B561" s="16" t="s">
        <v>60</v>
      </c>
      <c r="C561" s="2" t="e">
        <f>SUM(C507:C560)</f>
        <v>#REF!</v>
      </c>
      <c r="D561" s="29"/>
      <c r="E561" s="15"/>
      <c r="F561" s="5"/>
    </row>
    <row r="562" spans="1:6" ht="13.5" customHeight="1" x14ac:dyDescent="0.3">
      <c r="A562" s="29"/>
      <c r="B562" s="16"/>
      <c r="C562" s="2"/>
      <c r="D562" s="29"/>
      <c r="E562" s="15"/>
      <c r="F562" s="5"/>
    </row>
    <row r="563" spans="1:6" ht="13.5" customHeight="1" x14ac:dyDescent="0.3">
      <c r="A563" s="29"/>
      <c r="B563" s="16"/>
      <c r="C563" s="2"/>
      <c r="D563" s="29"/>
      <c r="E563" s="15"/>
      <c r="F563" s="5"/>
    </row>
    <row r="564" spans="1:6" ht="14.1" customHeight="1" x14ac:dyDescent="0.3">
      <c r="A564" s="29">
        <f>+A507+1</f>
        <v>41</v>
      </c>
      <c r="B564" s="10" t="s">
        <v>29</v>
      </c>
      <c r="C564" s="5">
        <f>+'Measurment 3rd floor'!G226</f>
        <v>0</v>
      </c>
      <c r="D564" s="29">
        <f>+A591+1</f>
        <v>43</v>
      </c>
      <c r="E564" s="7" t="s">
        <v>30</v>
      </c>
      <c r="F564" s="5">
        <f>+'Measurment 3rd floor'!G230</f>
        <v>47</v>
      </c>
    </row>
    <row r="565" spans="1:6" ht="14.1" customHeight="1" x14ac:dyDescent="0.3">
      <c r="A565" s="29"/>
      <c r="B565" s="15"/>
      <c r="C565" s="5">
        <f>+'Measurment 3rd floor'!G441</f>
        <v>72.56</v>
      </c>
      <c r="D565" s="29"/>
      <c r="E565" s="15"/>
      <c r="F565" s="5" t="e">
        <f>+'Measurment 3rd floor'!#REF!</f>
        <v>#REF!</v>
      </c>
    </row>
    <row r="566" spans="1:6" ht="14.1" customHeight="1" x14ac:dyDescent="0.3">
      <c r="A566" s="29"/>
      <c r="B566" s="15"/>
      <c r="C566" s="5" t="e">
        <f>+'Measurment 3rd floor'!#REF!</f>
        <v>#REF!</v>
      </c>
      <c r="D566" s="29"/>
      <c r="E566" s="15"/>
      <c r="F566" s="5" t="e">
        <f>+'Measurment 3rd floor'!#REF!</f>
        <v>#REF!</v>
      </c>
    </row>
    <row r="567" spans="1:6" ht="14.1" customHeight="1" x14ac:dyDescent="0.3">
      <c r="A567" s="29"/>
      <c r="B567" s="15"/>
      <c r="C567" s="5" t="e">
        <f>+'Measurment 3rd floor'!#REF!</f>
        <v>#REF!</v>
      </c>
      <c r="D567" s="29"/>
      <c r="E567" s="15"/>
      <c r="F567" s="5" t="e">
        <f>+'Measurment 3rd floor'!#REF!</f>
        <v>#REF!</v>
      </c>
    </row>
    <row r="568" spans="1:6" ht="14.1" customHeight="1" x14ac:dyDescent="0.3">
      <c r="A568" s="29"/>
      <c r="B568" s="15"/>
      <c r="C568" s="5" t="e">
        <f>+'Measurment 3rd floor'!#REF!</f>
        <v>#REF!</v>
      </c>
      <c r="D568" s="29"/>
      <c r="E568" s="15"/>
      <c r="F568" s="5" t="e">
        <f>+'Measurment 3rd floor'!#REF!</f>
        <v>#REF!</v>
      </c>
    </row>
    <row r="569" spans="1:6" ht="14.1" customHeight="1" x14ac:dyDescent="0.3">
      <c r="A569" s="29"/>
      <c r="B569" s="15"/>
      <c r="C569" s="5" t="e">
        <f>+'Measurment 3rd floor'!#REF!</f>
        <v>#REF!</v>
      </c>
      <c r="D569" s="29"/>
      <c r="E569" s="15"/>
      <c r="F569" s="5" t="e">
        <f>+'Measurment 3rd floor'!#REF!</f>
        <v>#REF!</v>
      </c>
    </row>
    <row r="570" spans="1:6" ht="14.1" customHeight="1" x14ac:dyDescent="0.3">
      <c r="A570" s="29"/>
      <c r="B570" s="15"/>
      <c r="C570" s="5" t="e">
        <f>+'Measurment 3rd floor'!#REF!</f>
        <v>#REF!</v>
      </c>
      <c r="D570" s="29"/>
      <c r="E570" s="15"/>
      <c r="F570" s="5" t="e">
        <f>+'Measurment 3rd floor'!#REF!</f>
        <v>#REF!</v>
      </c>
    </row>
    <row r="571" spans="1:6" ht="14.1" customHeight="1" x14ac:dyDescent="0.3">
      <c r="A571" s="29"/>
      <c r="B571" s="15"/>
      <c r="C571" s="5" t="e">
        <f>+'Measurment 3rd floor'!#REF!</f>
        <v>#REF!</v>
      </c>
      <c r="D571" s="29"/>
      <c r="E571" s="15"/>
      <c r="F571" s="5" t="e">
        <f>+'Measurment 3rd floor'!#REF!</f>
        <v>#REF!</v>
      </c>
    </row>
    <row r="572" spans="1:6" ht="14.1" customHeight="1" x14ac:dyDescent="0.3">
      <c r="A572" s="29"/>
      <c r="B572" s="15"/>
      <c r="C572" s="5" t="e">
        <f>+'Measurment 3rd floor'!#REF!</f>
        <v>#REF!</v>
      </c>
      <c r="D572" s="29"/>
      <c r="E572" s="15"/>
      <c r="F572" s="5" t="e">
        <f>+'Measurment 3rd floor'!#REF!</f>
        <v>#REF!</v>
      </c>
    </row>
    <row r="573" spans="1:6" ht="14.1" customHeight="1" x14ac:dyDescent="0.3">
      <c r="A573" s="29"/>
      <c r="B573" s="15"/>
      <c r="C573" s="5" t="e">
        <f>+'Measurment 3rd floor'!#REF!</f>
        <v>#REF!</v>
      </c>
      <c r="D573" s="29"/>
      <c r="E573" s="15"/>
      <c r="F573" s="5" t="e">
        <f>+'Measurment 3rd floor'!#REF!</f>
        <v>#REF!</v>
      </c>
    </row>
    <row r="574" spans="1:6" ht="14.1" customHeight="1" x14ac:dyDescent="0.3">
      <c r="A574" s="29"/>
      <c r="B574" s="15"/>
      <c r="C574" s="5" t="e">
        <f>+'Measurment 3rd floor'!#REF!</f>
        <v>#REF!</v>
      </c>
      <c r="D574" s="29"/>
      <c r="E574" s="15"/>
      <c r="F574" s="5" t="e">
        <f>+'Measurment 3rd floor'!#REF!</f>
        <v>#REF!</v>
      </c>
    </row>
    <row r="575" spans="1:6" ht="14.1" customHeight="1" x14ac:dyDescent="0.3">
      <c r="A575" s="29"/>
      <c r="B575" s="15"/>
      <c r="C575" s="5" t="e">
        <f>+'Measurment 3rd floor'!#REF!</f>
        <v>#REF!</v>
      </c>
      <c r="D575" s="29"/>
      <c r="E575" s="2" t="s">
        <v>49</v>
      </c>
      <c r="F575" s="2" t="e">
        <f>SUM(F564:F574)</f>
        <v>#REF!</v>
      </c>
    </row>
    <row r="576" spans="1:6" ht="14.1" customHeight="1" x14ac:dyDescent="0.3">
      <c r="A576" s="29"/>
      <c r="B576" s="15"/>
      <c r="C576" s="5" t="e">
        <f>+'Measurment 3rd floor'!#REF!</f>
        <v>#REF!</v>
      </c>
      <c r="D576" s="29"/>
      <c r="E576" s="15"/>
      <c r="F576" s="5"/>
    </row>
    <row r="577" spans="1:6" ht="14.1" customHeight="1" x14ac:dyDescent="0.3">
      <c r="A577" s="29"/>
      <c r="B577" s="15"/>
      <c r="C577" s="5" t="e">
        <f>+'Measurment 3rd floor'!#REF!</f>
        <v>#REF!</v>
      </c>
      <c r="D577" s="29">
        <f>+D564+1</f>
        <v>44</v>
      </c>
      <c r="E577" s="15" t="s">
        <v>86</v>
      </c>
      <c r="F577" s="5" t="e">
        <f>+'Measurment 3rd floor'!#REF!</f>
        <v>#REF!</v>
      </c>
    </row>
    <row r="578" spans="1:6" ht="14.1" customHeight="1" x14ac:dyDescent="0.3">
      <c r="A578" s="29"/>
      <c r="B578" s="15"/>
      <c r="C578" s="5" t="e">
        <f>+'Measurment 3rd floor'!#REF!</f>
        <v>#REF!</v>
      </c>
      <c r="D578" s="29"/>
      <c r="E578" s="15"/>
      <c r="F578" s="5" t="e">
        <f>+'Measurment 3rd floor'!#REF!</f>
        <v>#REF!</v>
      </c>
    </row>
    <row r="579" spans="1:6" ht="14.1" customHeight="1" x14ac:dyDescent="0.3">
      <c r="A579" s="29"/>
      <c r="B579" s="15"/>
      <c r="C579" s="5" t="e">
        <f>+'Measurment 3rd floor'!#REF!</f>
        <v>#REF!</v>
      </c>
      <c r="D579" s="29"/>
      <c r="E579" s="15"/>
      <c r="F579" s="5" t="e">
        <f>+'Measurment 3rd floor'!#REF!</f>
        <v>#REF!</v>
      </c>
    </row>
    <row r="580" spans="1:6" ht="14.1" customHeight="1" x14ac:dyDescent="0.3">
      <c r="A580" s="29"/>
      <c r="B580" s="15"/>
      <c r="C580" s="5" t="e">
        <f>+'Measurment 3rd floor'!#REF!</f>
        <v>#REF!</v>
      </c>
      <c r="D580" s="29"/>
      <c r="E580" s="15"/>
      <c r="F580" s="5" t="e">
        <f>+'Measurment 3rd floor'!#REF!</f>
        <v>#REF!</v>
      </c>
    </row>
    <row r="581" spans="1:6" ht="14.1" customHeight="1" x14ac:dyDescent="0.3">
      <c r="A581" s="29"/>
      <c r="B581" s="15"/>
      <c r="C581" s="5" t="e">
        <f>+'Measurment 3rd floor'!#REF!</f>
        <v>#REF!</v>
      </c>
      <c r="D581" s="29"/>
      <c r="E581" s="15"/>
      <c r="F581" s="5" t="e">
        <f>+'Measurment 3rd floor'!#REF!</f>
        <v>#REF!</v>
      </c>
    </row>
    <row r="582" spans="1:6" ht="14.1" customHeight="1" x14ac:dyDescent="0.3">
      <c r="A582" s="29"/>
      <c r="B582" s="15"/>
      <c r="C582" s="5" t="e">
        <f>+'Measurment 3rd floor'!#REF!</f>
        <v>#REF!</v>
      </c>
      <c r="D582" s="29"/>
      <c r="E582" s="15"/>
      <c r="F582" s="5" t="e">
        <f>+'Measurment 3rd floor'!#REF!</f>
        <v>#REF!</v>
      </c>
    </row>
    <row r="583" spans="1:6" ht="14.1" customHeight="1" x14ac:dyDescent="0.3">
      <c r="A583" s="29"/>
      <c r="B583" s="15"/>
      <c r="C583" s="5" t="e">
        <f>+'Measurment 3rd floor'!#REF!</f>
        <v>#REF!</v>
      </c>
      <c r="D583" s="29"/>
      <c r="E583" s="15"/>
      <c r="F583" s="5" t="e">
        <f>+'Measurment 3rd floor'!#REF!</f>
        <v>#REF!</v>
      </c>
    </row>
    <row r="584" spans="1:6" ht="14.1" customHeight="1" x14ac:dyDescent="0.3">
      <c r="A584" s="29"/>
      <c r="B584" s="15"/>
      <c r="C584" s="5" t="e">
        <f>+'Measurment 3rd floor'!#REF!</f>
        <v>#REF!</v>
      </c>
      <c r="D584" s="29"/>
      <c r="E584" s="15"/>
      <c r="F584" s="5" t="e">
        <f>+'Measurment 3rd floor'!#REF!</f>
        <v>#REF!</v>
      </c>
    </row>
    <row r="585" spans="1:6" ht="14.1" customHeight="1" x14ac:dyDescent="0.3">
      <c r="A585" s="29"/>
      <c r="B585" s="15"/>
      <c r="C585" s="5" t="e">
        <f>+'Measurment 3rd floor'!#REF!</f>
        <v>#REF!</v>
      </c>
      <c r="D585" s="29"/>
      <c r="E585" s="15"/>
      <c r="F585" s="5" t="e">
        <f>+'Measurment 3rd floor'!#REF!</f>
        <v>#REF!</v>
      </c>
    </row>
    <row r="586" spans="1:6" ht="14.1" customHeight="1" x14ac:dyDescent="0.3">
      <c r="A586" s="29"/>
      <c r="B586" s="15"/>
      <c r="C586" s="5" t="e">
        <f>+'Measurment 3rd floor'!#REF!</f>
        <v>#REF!</v>
      </c>
      <c r="D586" s="29"/>
      <c r="E586" s="15"/>
      <c r="F586" s="5" t="e">
        <f>+'Measurment 3rd floor'!#REF!</f>
        <v>#REF!</v>
      </c>
    </row>
    <row r="587" spans="1:6" ht="14.1" customHeight="1" x14ac:dyDescent="0.3">
      <c r="A587" s="29"/>
      <c r="B587" s="15"/>
      <c r="C587" s="5" t="e">
        <f>+'Measurment 3rd floor'!#REF!</f>
        <v>#REF!</v>
      </c>
      <c r="D587" s="29"/>
      <c r="E587" s="15"/>
      <c r="F587" s="5" t="e">
        <f>+'Measurment 3rd floor'!#REF!</f>
        <v>#REF!</v>
      </c>
    </row>
    <row r="588" spans="1:6" ht="14.1" customHeight="1" x14ac:dyDescent="0.3">
      <c r="A588" s="29"/>
      <c r="B588" s="15"/>
      <c r="C588" s="5" t="e">
        <f>+'Measurment 3rd floor'!#REF!</f>
        <v>#REF!</v>
      </c>
      <c r="D588" s="29"/>
      <c r="E588" s="15"/>
      <c r="F588" s="5" t="e">
        <f>+'Measurment 3rd floor'!#REF!</f>
        <v>#REF!</v>
      </c>
    </row>
    <row r="589" spans="1:6" ht="14.1" customHeight="1" x14ac:dyDescent="0.3">
      <c r="A589" s="29"/>
      <c r="B589" s="2" t="s">
        <v>49</v>
      </c>
      <c r="C589" s="2" t="e">
        <f>SUM(C564:C586)</f>
        <v>#REF!</v>
      </c>
      <c r="D589" s="29"/>
      <c r="E589" s="15"/>
      <c r="F589" s="5" t="e">
        <f>+'Measurment 3rd floor'!#REF!</f>
        <v>#REF!</v>
      </c>
    </row>
    <row r="590" spans="1:6" ht="14.1" customHeight="1" x14ac:dyDescent="0.3">
      <c r="A590" s="29"/>
      <c r="B590" s="15"/>
      <c r="C590" s="5"/>
      <c r="D590" s="29"/>
      <c r="E590" s="5" t="s">
        <v>49</v>
      </c>
      <c r="F590" s="2" t="e">
        <f>SUM(F577:F589)</f>
        <v>#REF!</v>
      </c>
    </row>
    <row r="591" spans="1:6" ht="14.1" customHeight="1" x14ac:dyDescent="0.3">
      <c r="A591" s="29">
        <f>+A564+1</f>
        <v>42</v>
      </c>
      <c r="B591" s="7" t="s">
        <v>55</v>
      </c>
      <c r="C591" s="5">
        <f>+'Measurment 3rd floor'!G228</f>
        <v>0</v>
      </c>
      <c r="D591" s="29"/>
      <c r="E591" s="15"/>
      <c r="F591" s="5"/>
    </row>
    <row r="592" spans="1:6" ht="14.1" customHeight="1" x14ac:dyDescent="0.3">
      <c r="A592" s="29"/>
      <c r="B592" s="15"/>
      <c r="C592" s="5">
        <f>+'Measurment 3rd floor'!G443</f>
        <v>0</v>
      </c>
      <c r="D592" s="29"/>
      <c r="E592" s="15"/>
      <c r="F592" s="5"/>
    </row>
    <row r="593" spans="1:6" ht="14.1" customHeight="1" x14ac:dyDescent="0.3">
      <c r="A593" s="29"/>
      <c r="B593" s="15"/>
      <c r="C593" s="5" t="e">
        <f>+'Measurment 3rd floor'!#REF!</f>
        <v>#REF!</v>
      </c>
      <c r="D593" s="29"/>
      <c r="E593" s="15"/>
      <c r="F593" s="5"/>
    </row>
    <row r="594" spans="1:6" ht="14.1" customHeight="1" x14ac:dyDescent="0.3">
      <c r="A594" s="29"/>
      <c r="B594" s="15"/>
      <c r="C594" s="5" t="e">
        <f>+'Measurment 3rd floor'!#REF!</f>
        <v>#REF!</v>
      </c>
      <c r="D594" s="29"/>
      <c r="E594" s="15"/>
      <c r="F594" s="5"/>
    </row>
    <row r="595" spans="1:6" ht="14.1" customHeight="1" x14ac:dyDescent="0.3">
      <c r="A595" s="29"/>
      <c r="B595" s="15"/>
      <c r="C595" s="5" t="e">
        <f>+'Measurment 3rd floor'!#REF!</f>
        <v>#REF!</v>
      </c>
      <c r="D595" s="29"/>
      <c r="E595" s="15"/>
      <c r="F595" s="5"/>
    </row>
    <row r="596" spans="1:6" ht="14.1" customHeight="1" x14ac:dyDescent="0.3">
      <c r="A596" s="29"/>
      <c r="B596" s="15"/>
      <c r="C596" s="5" t="e">
        <f>+'Measurment 3rd floor'!#REF!</f>
        <v>#REF!</v>
      </c>
      <c r="D596" s="29"/>
      <c r="E596" s="15"/>
      <c r="F596" s="5"/>
    </row>
    <row r="597" spans="1:6" ht="14.1" customHeight="1" x14ac:dyDescent="0.3">
      <c r="A597" s="29"/>
      <c r="B597" s="15"/>
      <c r="C597" s="5" t="e">
        <f>+'Measurment 3rd floor'!#REF!</f>
        <v>#REF!</v>
      </c>
      <c r="D597" s="29"/>
      <c r="E597" s="15"/>
      <c r="F597" s="5"/>
    </row>
    <row r="598" spans="1:6" ht="14.1" customHeight="1" x14ac:dyDescent="0.3">
      <c r="A598" s="29"/>
      <c r="B598" s="15"/>
      <c r="C598" s="5" t="e">
        <f>+'Measurment 3rd floor'!#REF!</f>
        <v>#REF!</v>
      </c>
      <c r="D598" s="29"/>
      <c r="E598" s="15"/>
      <c r="F598" s="5"/>
    </row>
    <row r="599" spans="1:6" ht="14.1" customHeight="1" x14ac:dyDescent="0.3">
      <c r="A599" s="29"/>
      <c r="B599" s="15"/>
      <c r="C599" s="5" t="e">
        <f>+'Measurment 3rd floor'!#REF!</f>
        <v>#REF!</v>
      </c>
      <c r="D599" s="29"/>
      <c r="E599" s="15"/>
      <c r="F599" s="5"/>
    </row>
    <row r="600" spans="1:6" ht="14.1" customHeight="1" x14ac:dyDescent="0.3">
      <c r="A600" s="29"/>
      <c r="B600" s="15"/>
      <c r="C600" s="5" t="e">
        <f>+'Measurment 3rd floor'!#REF!</f>
        <v>#REF!</v>
      </c>
      <c r="D600" s="29"/>
      <c r="E600" s="15"/>
      <c r="F600" s="5"/>
    </row>
    <row r="601" spans="1:6" ht="14.1" customHeight="1" x14ac:dyDescent="0.3">
      <c r="A601" s="29"/>
      <c r="B601" s="15"/>
      <c r="C601" s="5" t="e">
        <f>+'Measurment 3rd floor'!#REF!</f>
        <v>#REF!</v>
      </c>
      <c r="D601" s="29"/>
      <c r="E601" s="15"/>
      <c r="F601" s="5"/>
    </row>
    <row r="602" spans="1:6" ht="14.1" customHeight="1" x14ac:dyDescent="0.3">
      <c r="A602" s="29"/>
      <c r="B602" s="15"/>
      <c r="C602" s="5" t="e">
        <f>+'Measurment 3rd floor'!#REF!</f>
        <v>#REF!</v>
      </c>
      <c r="D602" s="29"/>
      <c r="E602" s="15"/>
      <c r="F602" s="5"/>
    </row>
    <row r="603" spans="1:6" ht="14.1" customHeight="1" x14ac:dyDescent="0.3">
      <c r="A603" s="29"/>
      <c r="B603" s="15"/>
      <c r="C603" s="5" t="e">
        <f>+'Measurment 3rd floor'!#REF!</f>
        <v>#REF!</v>
      </c>
      <c r="D603" s="29"/>
      <c r="E603" s="15"/>
      <c r="F603" s="5"/>
    </row>
    <row r="604" spans="1:6" ht="14.1" customHeight="1" x14ac:dyDescent="0.3">
      <c r="A604" s="29"/>
      <c r="B604" s="15"/>
      <c r="C604" s="5" t="e">
        <f>+'Measurment 3rd floor'!#REF!</f>
        <v>#REF!</v>
      </c>
      <c r="D604" s="29"/>
      <c r="E604" s="15"/>
      <c r="F604" s="5"/>
    </row>
    <row r="605" spans="1:6" ht="14.1" customHeight="1" x14ac:dyDescent="0.3">
      <c r="A605" s="29"/>
      <c r="B605" s="15"/>
      <c r="C605" s="5" t="e">
        <f>+'Measurment 3rd floor'!#REF!</f>
        <v>#REF!</v>
      </c>
      <c r="D605" s="29"/>
      <c r="E605" s="15"/>
      <c r="F605" s="5"/>
    </row>
    <row r="606" spans="1:6" ht="14.1" customHeight="1" x14ac:dyDescent="0.3">
      <c r="A606" s="29"/>
      <c r="B606" s="15"/>
      <c r="C606" s="5" t="e">
        <f>+'Measurment 3rd floor'!#REF!</f>
        <v>#REF!</v>
      </c>
      <c r="D606" s="29"/>
      <c r="E606" s="15"/>
      <c r="F606" s="5"/>
    </row>
    <row r="607" spans="1:6" ht="14.1" customHeight="1" x14ac:dyDescent="0.3">
      <c r="A607" s="29"/>
      <c r="B607" s="15"/>
      <c r="C607" s="5" t="e">
        <f>+'Measurment 3rd floor'!#REF!</f>
        <v>#REF!</v>
      </c>
      <c r="D607" s="29"/>
      <c r="E607" s="15"/>
      <c r="F607" s="5"/>
    </row>
    <row r="608" spans="1:6" ht="14.1" customHeight="1" x14ac:dyDescent="0.3">
      <c r="A608" s="29"/>
      <c r="B608" s="15"/>
      <c r="C608" s="5" t="e">
        <f>+'Measurment 3rd floor'!#REF!</f>
        <v>#REF!</v>
      </c>
      <c r="D608" s="29"/>
      <c r="E608" s="15"/>
      <c r="F608" s="5"/>
    </row>
    <row r="609" spans="1:6" ht="14.1" customHeight="1" x14ac:dyDescent="0.3">
      <c r="A609" s="29"/>
      <c r="B609" s="15"/>
      <c r="C609" s="5" t="e">
        <f>+'Measurment 3rd floor'!#REF!</f>
        <v>#REF!</v>
      </c>
      <c r="D609" s="29"/>
      <c r="E609" s="15"/>
      <c r="F609" s="5"/>
    </row>
    <row r="610" spans="1:6" ht="14.1" customHeight="1" x14ac:dyDescent="0.3">
      <c r="A610" s="29"/>
      <c r="B610" s="15"/>
      <c r="C610" s="5" t="e">
        <f>+'Measurment 3rd floor'!#REF!</f>
        <v>#REF!</v>
      </c>
      <c r="D610" s="29"/>
      <c r="E610" s="15"/>
      <c r="F610" s="5"/>
    </row>
    <row r="611" spans="1:6" ht="14.1" customHeight="1" x14ac:dyDescent="0.3">
      <c r="A611" s="29"/>
      <c r="B611" s="15"/>
      <c r="C611" s="5" t="e">
        <f>+'Measurment 3rd floor'!#REF!</f>
        <v>#REF!</v>
      </c>
      <c r="D611" s="29"/>
      <c r="E611" s="15"/>
      <c r="F611" s="5"/>
    </row>
    <row r="612" spans="1:6" ht="14.1" customHeight="1" x14ac:dyDescent="0.3">
      <c r="A612" s="29"/>
      <c r="B612" s="15"/>
      <c r="C612" s="5" t="e">
        <f>+'Measurment 3rd floor'!#REF!</f>
        <v>#REF!</v>
      </c>
      <c r="D612" s="29"/>
      <c r="E612" s="15"/>
      <c r="F612" s="5"/>
    </row>
    <row r="613" spans="1:6" ht="14.1" customHeight="1" x14ac:dyDescent="0.3">
      <c r="A613" s="29"/>
      <c r="B613" s="2" t="s">
        <v>49</v>
      </c>
      <c r="C613" s="2" t="e">
        <f>SUM(C591:C612)</f>
        <v>#REF!</v>
      </c>
      <c r="D613" s="29"/>
      <c r="E613" s="15"/>
      <c r="F613" s="5"/>
    </row>
    <row r="614" spans="1:6" ht="14.1" customHeight="1" x14ac:dyDescent="0.3">
      <c r="A614" s="29"/>
      <c r="B614" s="15"/>
      <c r="C614" s="5"/>
      <c r="D614" s="29"/>
      <c r="E614" s="15"/>
      <c r="F614" s="5"/>
    </row>
  </sheetData>
  <mergeCells count="2">
    <mergeCell ref="A2:F2"/>
    <mergeCell ref="A1:F1"/>
  </mergeCells>
  <pageMargins left="0.25" right="0.25" top="0.25" bottom="0.2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"/>
  <sheetViews>
    <sheetView workbookViewId="0">
      <selection activeCell="J70" sqref="J70"/>
    </sheetView>
  </sheetViews>
  <sheetFormatPr defaultColWidth="9.109375" defaultRowHeight="13.8" x14ac:dyDescent="0.25"/>
  <cols>
    <col min="1" max="1" width="5.109375" style="34" customWidth="1"/>
    <col min="2" max="2" width="48.88671875" style="34" bestFit="1" customWidth="1"/>
    <col min="3" max="3" width="7.109375" style="34" customWidth="1"/>
    <col min="4" max="4" width="8.88671875" style="34" customWidth="1"/>
    <col min="5" max="5" width="0.109375" style="34" hidden="1" customWidth="1"/>
    <col min="6" max="6" width="10" style="34" customWidth="1"/>
    <col min="7" max="7" width="14.44140625" style="34" customWidth="1"/>
    <col min="8" max="16384" width="9.109375" style="34"/>
  </cols>
  <sheetData>
    <row r="1" spans="1:7" x14ac:dyDescent="0.25">
      <c r="A1" s="70" t="s">
        <v>64</v>
      </c>
      <c r="B1" s="70"/>
      <c r="C1" s="69" t="s">
        <v>65</v>
      </c>
      <c r="D1" s="69"/>
      <c r="E1" s="69"/>
      <c r="F1" s="69"/>
      <c r="G1" s="69"/>
    </row>
    <row r="2" spans="1:7" x14ac:dyDescent="0.25">
      <c r="A2" s="69" t="s">
        <v>66</v>
      </c>
      <c r="B2" s="69"/>
      <c r="C2" s="69" t="s">
        <v>67</v>
      </c>
      <c r="D2" s="69"/>
      <c r="E2" s="69"/>
      <c r="F2" s="69"/>
      <c r="G2" s="69"/>
    </row>
    <row r="3" spans="1:7" x14ac:dyDescent="0.25">
      <c r="A3" s="52" t="s">
        <v>68</v>
      </c>
      <c r="B3" s="52"/>
      <c r="C3" s="69" t="s">
        <v>94</v>
      </c>
      <c r="D3" s="69"/>
      <c r="E3" s="69"/>
      <c r="F3" s="69"/>
      <c r="G3" s="69"/>
    </row>
    <row r="4" spans="1:7" x14ac:dyDescent="0.25">
      <c r="A4" s="30" t="s">
        <v>69</v>
      </c>
      <c r="B4" s="30"/>
      <c r="C4" s="69"/>
      <c r="D4" s="69"/>
      <c r="E4" s="69"/>
      <c r="F4" s="69"/>
      <c r="G4" s="69"/>
    </row>
    <row r="5" spans="1:7" x14ac:dyDescent="0.25">
      <c r="A5" s="63" t="s">
        <v>70</v>
      </c>
      <c r="B5" s="63"/>
      <c r="C5" s="69"/>
      <c r="D5" s="69"/>
      <c r="E5" s="69"/>
      <c r="F5" s="69"/>
      <c r="G5" s="69"/>
    </row>
    <row r="6" spans="1:7" ht="15" customHeight="1" x14ac:dyDescent="0.25">
      <c r="A6" s="71" t="s">
        <v>91</v>
      </c>
      <c r="B6" s="71"/>
      <c r="C6" s="71"/>
      <c r="D6" s="71"/>
      <c r="E6" s="71"/>
      <c r="F6" s="71"/>
      <c r="G6" s="71"/>
    </row>
    <row r="7" spans="1:7" x14ac:dyDescent="0.25">
      <c r="A7" s="35" t="s">
        <v>1</v>
      </c>
      <c r="B7" s="36" t="s">
        <v>71</v>
      </c>
      <c r="C7" s="37" t="s">
        <v>72</v>
      </c>
      <c r="D7" s="38" t="s">
        <v>9</v>
      </c>
      <c r="E7" s="39" t="s">
        <v>73</v>
      </c>
      <c r="F7" s="39" t="s">
        <v>73</v>
      </c>
      <c r="G7" s="38" t="s">
        <v>74</v>
      </c>
    </row>
    <row r="8" spans="1:7" x14ac:dyDescent="0.25">
      <c r="A8" s="40"/>
      <c r="B8" s="40"/>
      <c r="C8" s="41"/>
      <c r="D8" s="42" t="s">
        <v>6</v>
      </c>
      <c r="E8" s="43" t="s">
        <v>132</v>
      </c>
      <c r="F8" s="43" t="s">
        <v>59</v>
      </c>
      <c r="G8" s="42" t="s">
        <v>75</v>
      </c>
    </row>
    <row r="9" spans="1:7" x14ac:dyDescent="0.25">
      <c r="A9" s="44">
        <v>1</v>
      </c>
      <c r="B9" s="15" t="s">
        <v>8</v>
      </c>
      <c r="C9" s="44" t="s">
        <v>77</v>
      </c>
      <c r="D9" s="45" t="e">
        <f>+'Abc '!C17</f>
        <v>#REF!</v>
      </c>
      <c r="E9" s="28">
        <v>50.4</v>
      </c>
      <c r="F9" s="28">
        <v>50.4</v>
      </c>
      <c r="G9" s="45" t="e">
        <f>+F9*D9</f>
        <v>#REF!</v>
      </c>
    </row>
    <row r="10" spans="1:7" x14ac:dyDescent="0.25">
      <c r="A10" s="44"/>
      <c r="B10" s="31"/>
      <c r="C10" s="44"/>
      <c r="D10" s="45"/>
      <c r="E10" s="28"/>
      <c r="F10" s="28"/>
      <c r="G10" s="45"/>
    </row>
    <row r="11" spans="1:7" x14ac:dyDescent="0.25">
      <c r="A11" s="46">
        <f>+A9+1</f>
        <v>2</v>
      </c>
      <c r="B11" s="7" t="s">
        <v>13</v>
      </c>
      <c r="C11" s="44" t="s">
        <v>78</v>
      </c>
      <c r="D11" s="45" t="e">
        <f>+'Abc '!C42</f>
        <v>#REF!</v>
      </c>
      <c r="E11" s="28">
        <v>50.4</v>
      </c>
      <c r="F11" s="28">
        <v>50.4</v>
      </c>
      <c r="G11" s="45" t="e">
        <f>+F11*D11</f>
        <v>#REF!</v>
      </c>
    </row>
    <row r="12" spans="1:7" x14ac:dyDescent="0.25">
      <c r="A12" s="47"/>
      <c r="B12" s="48"/>
      <c r="C12" s="44"/>
      <c r="D12" s="45"/>
      <c r="E12" s="28"/>
      <c r="F12" s="28"/>
      <c r="G12" s="45"/>
    </row>
    <row r="13" spans="1:7" x14ac:dyDescent="0.25">
      <c r="A13" s="44">
        <f>+A11+1</f>
        <v>3</v>
      </c>
      <c r="B13" s="7" t="s">
        <v>15</v>
      </c>
      <c r="C13" s="44" t="s">
        <v>77</v>
      </c>
      <c r="D13" s="45" t="e">
        <f>+'Abc '!C55</f>
        <v>#REF!</v>
      </c>
      <c r="E13" s="28">
        <v>70</v>
      </c>
      <c r="F13" s="28">
        <v>70</v>
      </c>
      <c r="G13" s="45" t="e">
        <f>+F13*D13</f>
        <v>#REF!</v>
      </c>
    </row>
    <row r="14" spans="1:7" x14ac:dyDescent="0.25">
      <c r="A14" s="44"/>
      <c r="B14" s="31"/>
      <c r="C14" s="44"/>
      <c r="D14" s="45"/>
      <c r="E14" s="28"/>
      <c r="F14" s="28"/>
      <c r="G14" s="45"/>
    </row>
    <row r="15" spans="1:7" x14ac:dyDescent="0.25">
      <c r="A15" s="44">
        <f>+A13+1</f>
        <v>4</v>
      </c>
      <c r="B15" s="7" t="s">
        <v>16</v>
      </c>
      <c r="C15" s="44" t="s">
        <v>78</v>
      </c>
      <c r="D15" s="45" t="e">
        <f>+'Abc '!F15</f>
        <v>#REF!</v>
      </c>
      <c r="E15" s="28">
        <v>50.4</v>
      </c>
      <c r="F15" s="28">
        <v>50.4</v>
      </c>
      <c r="G15" s="45" t="e">
        <f>+F15*D15</f>
        <v>#REF!</v>
      </c>
    </row>
    <row r="16" spans="1:7" x14ac:dyDescent="0.25">
      <c r="A16" s="44"/>
      <c r="B16" s="23"/>
      <c r="C16" s="44"/>
      <c r="D16" s="15"/>
      <c r="E16" s="28"/>
      <c r="F16" s="28"/>
      <c r="G16" s="45"/>
    </row>
    <row r="17" spans="1:7" x14ac:dyDescent="0.25">
      <c r="A17" s="46">
        <f>+A15+1</f>
        <v>5</v>
      </c>
      <c r="B17" s="7" t="s">
        <v>48</v>
      </c>
      <c r="C17" s="44" t="s">
        <v>77</v>
      </c>
      <c r="D17" s="49" t="e">
        <f>+'Abc '!F28</f>
        <v>#REF!</v>
      </c>
      <c r="E17" s="57">
        <v>50.4</v>
      </c>
      <c r="F17" s="57">
        <v>50.4</v>
      </c>
      <c r="G17" s="45" t="e">
        <f>+F17*D17</f>
        <v>#REF!</v>
      </c>
    </row>
    <row r="18" spans="1:7" x14ac:dyDescent="0.25">
      <c r="A18" s="44"/>
      <c r="B18" s="31"/>
      <c r="C18" s="44"/>
      <c r="D18" s="45"/>
      <c r="E18" s="28"/>
      <c r="F18" s="28"/>
      <c r="G18" s="45"/>
    </row>
    <row r="19" spans="1:7" x14ac:dyDescent="0.25">
      <c r="A19" s="44">
        <f>+A17+1</f>
        <v>6</v>
      </c>
      <c r="B19" s="7" t="s">
        <v>34</v>
      </c>
      <c r="C19" s="44" t="s">
        <v>77</v>
      </c>
      <c r="D19" s="45" t="e">
        <f>+'Abc '!F41</f>
        <v>#REF!</v>
      </c>
      <c r="E19" s="28">
        <v>50.4</v>
      </c>
      <c r="F19" s="28">
        <v>50.4</v>
      </c>
      <c r="G19" s="45" t="e">
        <f>+F19*D19</f>
        <v>#REF!</v>
      </c>
    </row>
    <row r="20" spans="1:7" x14ac:dyDescent="0.25">
      <c r="A20" s="44"/>
      <c r="B20" s="15"/>
      <c r="C20" s="44"/>
      <c r="D20" s="45"/>
      <c r="E20" s="28"/>
      <c r="F20" s="28"/>
      <c r="G20" s="45"/>
    </row>
    <row r="21" spans="1:7" x14ac:dyDescent="0.25">
      <c r="A21" s="44">
        <f>+A19+1</f>
        <v>7</v>
      </c>
      <c r="B21" s="7" t="s">
        <v>35</v>
      </c>
      <c r="C21" s="44" t="s">
        <v>78</v>
      </c>
      <c r="D21" s="45" t="e">
        <f>+'Abc '!F54</f>
        <v>#REF!</v>
      </c>
      <c r="E21" s="28">
        <v>33.6</v>
      </c>
      <c r="F21" s="28">
        <v>33.6</v>
      </c>
      <c r="G21" s="45" t="e">
        <f>+F21*D21</f>
        <v>#REF!</v>
      </c>
    </row>
    <row r="22" spans="1:7" x14ac:dyDescent="0.25">
      <c r="A22" s="44"/>
      <c r="B22" s="15"/>
      <c r="C22" s="44"/>
      <c r="D22" s="45"/>
      <c r="E22" s="28"/>
      <c r="F22" s="28"/>
      <c r="G22" s="45"/>
    </row>
    <row r="23" spans="1:7" x14ac:dyDescent="0.25">
      <c r="A23" s="44">
        <f>+A21+1</f>
        <v>8</v>
      </c>
      <c r="B23" s="7" t="s">
        <v>10</v>
      </c>
      <c r="C23" s="44" t="s">
        <v>80</v>
      </c>
      <c r="D23" s="45" t="e">
        <f>+'Abc '!C80</f>
        <v>#REF!</v>
      </c>
      <c r="E23" s="28">
        <v>26.4</v>
      </c>
      <c r="F23" s="28">
        <v>26.4</v>
      </c>
      <c r="G23" s="45" t="e">
        <f>+F23*D23</f>
        <v>#REF!</v>
      </c>
    </row>
    <row r="24" spans="1:7" x14ac:dyDescent="0.25">
      <c r="A24" s="44"/>
      <c r="B24" s="15"/>
      <c r="C24" s="44"/>
      <c r="D24" s="45"/>
      <c r="E24" s="28"/>
      <c r="F24" s="28"/>
      <c r="G24" s="45"/>
    </row>
    <row r="25" spans="1:7" x14ac:dyDescent="0.25">
      <c r="A25" s="46">
        <f>+A23+1</f>
        <v>9</v>
      </c>
      <c r="B25" s="7" t="s">
        <v>12</v>
      </c>
      <c r="C25" s="44" t="s">
        <v>80</v>
      </c>
      <c r="D25" s="49" t="e">
        <f>+'Abc '!C120</f>
        <v>#REF!</v>
      </c>
      <c r="E25" s="28">
        <v>4</v>
      </c>
      <c r="F25" s="28">
        <v>4</v>
      </c>
      <c r="G25" s="45" t="e">
        <f>+F25*D25</f>
        <v>#REF!</v>
      </c>
    </row>
    <row r="26" spans="1:7" x14ac:dyDescent="0.25">
      <c r="A26" s="44"/>
      <c r="B26" s="31"/>
      <c r="C26" s="44"/>
      <c r="D26" s="45"/>
      <c r="E26" s="57"/>
      <c r="F26" s="57"/>
      <c r="G26" s="45"/>
    </row>
    <row r="27" spans="1:7" x14ac:dyDescent="0.25">
      <c r="A27" s="46">
        <f>+A25+1</f>
        <v>10</v>
      </c>
      <c r="B27" s="7" t="s">
        <v>17</v>
      </c>
      <c r="C27" s="44" t="s">
        <v>77</v>
      </c>
      <c r="D27" s="45" t="e">
        <f>+'Abc '!C134</f>
        <v>#REF!</v>
      </c>
      <c r="E27" s="57">
        <v>110</v>
      </c>
      <c r="F27" s="57">
        <v>110</v>
      </c>
      <c r="G27" s="45" t="e">
        <f>+F27*D27</f>
        <v>#REF!</v>
      </c>
    </row>
    <row r="28" spans="1:7" x14ac:dyDescent="0.25">
      <c r="A28" s="44"/>
      <c r="B28" s="31"/>
      <c r="C28" s="44"/>
      <c r="D28" s="45"/>
      <c r="E28" s="57"/>
      <c r="F28" s="57"/>
      <c r="G28" s="45"/>
    </row>
    <row r="29" spans="1:7" x14ac:dyDescent="0.25">
      <c r="A29" s="46">
        <f>+A27+1</f>
        <v>11</v>
      </c>
      <c r="B29" s="7" t="s">
        <v>18</v>
      </c>
      <c r="C29" s="44" t="s">
        <v>77</v>
      </c>
      <c r="D29" s="45" t="e">
        <f>+'Abc '!C148</f>
        <v>#REF!</v>
      </c>
      <c r="E29" s="57">
        <v>60</v>
      </c>
      <c r="F29" s="57">
        <v>60</v>
      </c>
      <c r="G29" s="45" t="e">
        <f>+F29*D29</f>
        <v>#REF!</v>
      </c>
    </row>
    <row r="30" spans="1:7" x14ac:dyDescent="0.25">
      <c r="A30" s="44"/>
      <c r="B30" s="31"/>
      <c r="C30" s="44"/>
      <c r="D30" s="45"/>
      <c r="E30" s="57"/>
      <c r="F30" s="57"/>
      <c r="G30" s="45"/>
    </row>
    <row r="31" spans="1:7" x14ac:dyDescent="0.25">
      <c r="A31" s="46">
        <f>+A29+1</f>
        <v>12</v>
      </c>
      <c r="B31" s="7" t="s">
        <v>22</v>
      </c>
      <c r="C31" s="44" t="s">
        <v>78</v>
      </c>
      <c r="D31" s="45" t="e">
        <f>+'Abc '!F158</f>
        <v>#REF!</v>
      </c>
      <c r="E31" s="57">
        <v>90</v>
      </c>
      <c r="F31" s="57">
        <v>90</v>
      </c>
      <c r="G31" s="45" t="e">
        <f>+F31*D31</f>
        <v>#REF!</v>
      </c>
    </row>
    <row r="32" spans="1:7" ht="14.1" customHeight="1" x14ac:dyDescent="0.25">
      <c r="A32" s="44"/>
      <c r="B32" s="15"/>
      <c r="C32" s="44"/>
      <c r="D32" s="45"/>
      <c r="E32" s="57"/>
      <c r="F32" s="57"/>
      <c r="G32" s="45"/>
    </row>
    <row r="33" spans="1:7" ht="14.1" customHeight="1" x14ac:dyDescent="0.25">
      <c r="A33" s="46">
        <f>+A31+1</f>
        <v>13</v>
      </c>
      <c r="B33" s="7" t="s">
        <v>23</v>
      </c>
      <c r="C33" s="44" t="s">
        <v>87</v>
      </c>
      <c r="D33" s="45" t="e">
        <f>+'Abc '!C213</f>
        <v>#REF!</v>
      </c>
      <c r="E33" s="57">
        <v>60</v>
      </c>
      <c r="F33" s="57">
        <v>60</v>
      </c>
      <c r="G33" s="45" t="e">
        <f>+F33*D33</f>
        <v>#REF!</v>
      </c>
    </row>
    <row r="34" spans="1:7" ht="14.1" customHeight="1" x14ac:dyDescent="0.25">
      <c r="A34" s="44"/>
      <c r="B34" s="15"/>
      <c r="C34" s="44"/>
      <c r="D34" s="45"/>
      <c r="E34" s="57"/>
      <c r="F34" s="57"/>
      <c r="G34" s="45"/>
    </row>
    <row r="35" spans="1:7" ht="14.1" customHeight="1" x14ac:dyDescent="0.25">
      <c r="A35" s="46">
        <f>+A33+1</f>
        <v>14</v>
      </c>
      <c r="B35" s="7" t="s">
        <v>26</v>
      </c>
      <c r="C35" s="44" t="s">
        <v>78</v>
      </c>
      <c r="D35" s="45" t="e">
        <f>+'Abc '!F188</f>
        <v>#REF!</v>
      </c>
      <c r="E35" s="57">
        <v>90</v>
      </c>
      <c r="F35" s="57">
        <v>90</v>
      </c>
      <c r="G35" s="45" t="e">
        <f>+F35*D35</f>
        <v>#REF!</v>
      </c>
    </row>
    <row r="36" spans="1:7" ht="14.1" customHeight="1" x14ac:dyDescent="0.25">
      <c r="A36" s="46"/>
      <c r="B36" s="31"/>
      <c r="C36" s="44"/>
      <c r="D36" s="45"/>
      <c r="E36" s="57"/>
      <c r="F36" s="57"/>
      <c r="G36" s="45"/>
    </row>
    <row r="37" spans="1:7" ht="14.1" customHeight="1" x14ac:dyDescent="0.25">
      <c r="A37" s="46">
        <f t="shared" ref="A37:A75" si="0">+A35+1</f>
        <v>15</v>
      </c>
      <c r="B37" s="7" t="s">
        <v>27</v>
      </c>
      <c r="C37" s="44" t="s">
        <v>78</v>
      </c>
      <c r="D37" s="45" t="e">
        <f>+'Abc '!F212</f>
        <v>#REF!</v>
      </c>
      <c r="E37" s="57">
        <v>60</v>
      </c>
      <c r="F37" s="57">
        <v>60</v>
      </c>
      <c r="G37" s="45" t="e">
        <f>+F37*D37</f>
        <v>#REF!</v>
      </c>
    </row>
    <row r="38" spans="1:7" ht="14.1" customHeight="1" x14ac:dyDescent="0.25">
      <c r="A38" s="46"/>
      <c r="B38" s="31"/>
      <c r="C38" s="44"/>
      <c r="D38" s="45"/>
      <c r="E38" s="57"/>
      <c r="F38" s="57"/>
      <c r="G38" s="45"/>
    </row>
    <row r="39" spans="1:7" ht="14.1" customHeight="1" x14ac:dyDescent="0.25">
      <c r="A39" s="46">
        <f t="shared" si="0"/>
        <v>16</v>
      </c>
      <c r="B39" s="7" t="s">
        <v>56</v>
      </c>
      <c r="C39" s="44" t="s">
        <v>78</v>
      </c>
      <c r="D39" s="45" t="e">
        <f>+'Abc '!C280</f>
        <v>#REF!</v>
      </c>
      <c r="E39" s="57">
        <v>90</v>
      </c>
      <c r="F39" s="57">
        <v>90</v>
      </c>
      <c r="G39" s="45" t="e">
        <f>+F39*D39</f>
        <v>#REF!</v>
      </c>
    </row>
    <row r="40" spans="1:7" ht="14.1" customHeight="1" x14ac:dyDescent="0.25">
      <c r="A40" s="46"/>
      <c r="B40" s="31"/>
      <c r="C40" s="44"/>
      <c r="D40" s="45"/>
      <c r="E40" s="57"/>
      <c r="F40" s="57"/>
      <c r="G40" s="45"/>
    </row>
    <row r="41" spans="1:7" ht="14.1" customHeight="1" x14ac:dyDescent="0.25">
      <c r="A41" s="46">
        <f t="shared" si="0"/>
        <v>17</v>
      </c>
      <c r="B41" s="7" t="s">
        <v>57</v>
      </c>
      <c r="C41" s="44" t="s">
        <v>78</v>
      </c>
      <c r="D41" s="45" t="e">
        <f>+'Abc '!F278</f>
        <v>#REF!</v>
      </c>
      <c r="E41" s="57">
        <v>60</v>
      </c>
      <c r="F41" s="57">
        <v>60</v>
      </c>
      <c r="G41" s="45" t="e">
        <f>+F41*D41</f>
        <v>#REF!</v>
      </c>
    </row>
    <row r="42" spans="1:7" ht="14.1" customHeight="1" x14ac:dyDescent="0.25">
      <c r="A42" s="46"/>
      <c r="B42" s="31"/>
      <c r="C42" s="44"/>
      <c r="D42" s="45"/>
      <c r="E42" s="57"/>
      <c r="F42" s="57"/>
      <c r="G42" s="45"/>
    </row>
    <row r="43" spans="1:7" ht="14.1" customHeight="1" x14ac:dyDescent="0.25">
      <c r="A43" s="46">
        <f t="shared" si="0"/>
        <v>18</v>
      </c>
      <c r="B43" s="7" t="s">
        <v>19</v>
      </c>
      <c r="C43" s="44" t="s">
        <v>78</v>
      </c>
      <c r="D43" s="45" t="e">
        <f>+'Abc '!C292</f>
        <v>#REF!</v>
      </c>
      <c r="E43" s="57">
        <v>720</v>
      </c>
      <c r="F43" s="57">
        <v>720</v>
      </c>
      <c r="G43" s="45" t="e">
        <f>+F43*D43</f>
        <v>#REF!</v>
      </c>
    </row>
    <row r="44" spans="1:7" ht="14.1" customHeight="1" x14ac:dyDescent="0.25">
      <c r="A44" s="46"/>
      <c r="B44" s="31"/>
      <c r="C44" s="44"/>
      <c r="D44" s="45"/>
      <c r="E44" s="57"/>
      <c r="F44" s="57"/>
      <c r="G44" s="45"/>
    </row>
    <row r="45" spans="1:7" ht="14.1" customHeight="1" x14ac:dyDescent="0.25">
      <c r="A45" s="50">
        <f t="shared" si="0"/>
        <v>19</v>
      </c>
      <c r="B45" s="7" t="s">
        <v>20</v>
      </c>
      <c r="C45" s="44" t="s">
        <v>78</v>
      </c>
      <c r="D45" s="28" t="e">
        <f>+'Abc '!C305</f>
        <v>#REF!</v>
      </c>
      <c r="E45" s="57">
        <v>720</v>
      </c>
      <c r="F45" s="57">
        <v>720</v>
      </c>
      <c r="G45" s="45" t="e">
        <f>+F45*D45</f>
        <v>#REF!</v>
      </c>
    </row>
    <row r="46" spans="1:7" ht="14.1" customHeight="1" x14ac:dyDescent="0.25">
      <c r="A46" s="46"/>
      <c r="B46" s="31"/>
      <c r="C46" s="44"/>
      <c r="D46" s="45"/>
      <c r="E46" s="57"/>
      <c r="F46" s="57"/>
      <c r="G46" s="45"/>
    </row>
    <row r="47" spans="1:7" ht="14.1" customHeight="1" x14ac:dyDescent="0.25">
      <c r="A47" s="46">
        <f t="shared" si="0"/>
        <v>20</v>
      </c>
      <c r="B47" s="7" t="s">
        <v>21</v>
      </c>
      <c r="C47" s="44" t="s">
        <v>77</v>
      </c>
      <c r="D47" s="45" t="e">
        <f>+'Abc '!C318</f>
        <v>#REF!</v>
      </c>
      <c r="E47" s="57">
        <v>60</v>
      </c>
      <c r="F47" s="57">
        <v>60</v>
      </c>
      <c r="G47" s="45" t="e">
        <f>+F47*D47</f>
        <v>#REF!</v>
      </c>
    </row>
    <row r="48" spans="1:7" x14ac:dyDescent="0.25">
      <c r="A48" s="46"/>
      <c r="B48" s="15"/>
      <c r="C48" s="44"/>
      <c r="D48" s="45"/>
      <c r="E48" s="57"/>
      <c r="F48" s="57"/>
      <c r="G48" s="45"/>
    </row>
    <row r="49" spans="1:7" x14ac:dyDescent="0.25">
      <c r="A49" s="46">
        <f>+A47+1</f>
        <v>21</v>
      </c>
      <c r="B49" s="15" t="s">
        <v>42</v>
      </c>
      <c r="C49" s="44" t="s">
        <v>77</v>
      </c>
      <c r="D49" s="45" t="e">
        <f>+'Abc '!C320</f>
        <v>#REF!</v>
      </c>
      <c r="E49" s="57">
        <v>90</v>
      </c>
      <c r="F49" s="57">
        <v>90</v>
      </c>
      <c r="G49" s="45" t="e">
        <f>+F49*D49</f>
        <v>#REF!</v>
      </c>
    </row>
    <row r="50" spans="1:7" x14ac:dyDescent="0.25">
      <c r="A50" s="46"/>
      <c r="B50" s="15"/>
      <c r="C50" s="44"/>
      <c r="D50" s="45"/>
      <c r="E50" s="57"/>
      <c r="F50" s="57"/>
      <c r="G50" s="45"/>
    </row>
    <row r="51" spans="1:7" x14ac:dyDescent="0.25">
      <c r="A51" s="46">
        <f t="shared" si="0"/>
        <v>22</v>
      </c>
      <c r="B51" s="7" t="s">
        <v>93</v>
      </c>
      <c r="C51" s="44" t="s">
        <v>77</v>
      </c>
      <c r="D51" s="45" t="e">
        <f>+'Abc '!C322</f>
        <v>#REF!</v>
      </c>
      <c r="E51" s="57">
        <v>1100</v>
      </c>
      <c r="F51" s="57">
        <v>800</v>
      </c>
      <c r="G51" s="45" t="e">
        <f>+F51*D51</f>
        <v>#REF!</v>
      </c>
    </row>
    <row r="52" spans="1:7" x14ac:dyDescent="0.25">
      <c r="A52" s="46"/>
      <c r="B52" s="31"/>
      <c r="C52" s="44"/>
      <c r="D52" s="45"/>
      <c r="E52" s="57"/>
      <c r="F52" s="57"/>
      <c r="G52" s="45"/>
    </row>
    <row r="53" spans="1:7" x14ac:dyDescent="0.25">
      <c r="A53" s="46"/>
      <c r="B53" s="31"/>
      <c r="C53" s="44"/>
      <c r="D53" s="45"/>
      <c r="E53" s="56" t="s">
        <v>92</v>
      </c>
      <c r="F53" s="56" t="s">
        <v>92</v>
      </c>
      <c r="G53" s="43" t="e">
        <f>SUM(G9:G52)</f>
        <v>#REF!</v>
      </c>
    </row>
    <row r="54" spans="1:7" x14ac:dyDescent="0.25">
      <c r="A54" s="46"/>
      <c r="B54" s="31"/>
      <c r="C54" s="44"/>
      <c r="D54" s="45"/>
      <c r="E54" s="57"/>
      <c r="F54" s="57"/>
      <c r="G54" s="45"/>
    </row>
    <row r="55" spans="1:7" x14ac:dyDescent="0.25">
      <c r="A55" s="46"/>
      <c r="B55" s="31"/>
      <c r="C55" s="44"/>
      <c r="D55" s="45"/>
      <c r="E55" s="56" t="s">
        <v>61</v>
      </c>
      <c r="F55" s="56" t="s">
        <v>61</v>
      </c>
      <c r="G55" s="43" t="e">
        <f>+G53</f>
        <v>#REF!</v>
      </c>
    </row>
    <row r="56" spans="1:7" x14ac:dyDescent="0.25">
      <c r="A56" s="46"/>
      <c r="B56" s="31"/>
      <c r="C56" s="44"/>
      <c r="D56" s="45"/>
      <c r="E56" s="57"/>
      <c r="F56" s="57"/>
      <c r="G56" s="45"/>
    </row>
    <row r="57" spans="1:7" x14ac:dyDescent="0.25">
      <c r="A57" s="46">
        <f>+A51+1</f>
        <v>23</v>
      </c>
      <c r="B57" s="7" t="s">
        <v>43</v>
      </c>
      <c r="C57" s="44" t="s">
        <v>77</v>
      </c>
      <c r="D57" s="45" t="e">
        <f>+'Abc '!C327</f>
        <v>#REF!</v>
      </c>
      <c r="E57" s="57">
        <v>60</v>
      </c>
      <c r="F57" s="57">
        <v>60</v>
      </c>
      <c r="G57" s="45" t="e">
        <f>+F57*D57</f>
        <v>#REF!</v>
      </c>
    </row>
    <row r="58" spans="1:7" x14ac:dyDescent="0.25">
      <c r="A58" s="46"/>
      <c r="B58" s="15"/>
      <c r="C58" s="44"/>
      <c r="D58" s="45"/>
      <c r="E58" s="57"/>
      <c r="F58" s="57"/>
      <c r="G58" s="45"/>
    </row>
    <row r="59" spans="1:7" x14ac:dyDescent="0.25">
      <c r="A59" s="46">
        <f>+A57+1</f>
        <v>24</v>
      </c>
      <c r="B59" s="7" t="s">
        <v>89</v>
      </c>
      <c r="C59" s="44" t="s">
        <v>78</v>
      </c>
      <c r="D59" s="45" t="e">
        <f>+'Abc '!F281</f>
        <v>#REF!</v>
      </c>
      <c r="E59" s="57">
        <v>1000</v>
      </c>
      <c r="F59" s="57">
        <v>800</v>
      </c>
      <c r="G59" s="45" t="e">
        <f>+F59*D59</f>
        <v>#REF!</v>
      </c>
    </row>
    <row r="60" spans="1:7" x14ac:dyDescent="0.25">
      <c r="A60" s="46"/>
      <c r="B60" s="15"/>
      <c r="C60" s="44"/>
      <c r="D60" s="45"/>
      <c r="E60" s="57"/>
      <c r="F60" s="57"/>
      <c r="G60" s="45"/>
    </row>
    <row r="61" spans="1:7" x14ac:dyDescent="0.25">
      <c r="A61" s="46">
        <f>+A59+1</f>
        <v>25</v>
      </c>
      <c r="B61" s="7" t="s">
        <v>36</v>
      </c>
      <c r="C61" s="44" t="s">
        <v>78</v>
      </c>
      <c r="D61" s="45" t="e">
        <f>+'Abc '!F314</f>
        <v>#REF!</v>
      </c>
      <c r="E61" s="57">
        <v>72</v>
      </c>
      <c r="F61" s="57">
        <v>72</v>
      </c>
      <c r="G61" s="45" t="e">
        <f>+F61*D61</f>
        <v>#REF!</v>
      </c>
    </row>
    <row r="62" spans="1:7" x14ac:dyDescent="0.25">
      <c r="A62" s="46"/>
      <c r="B62" s="15"/>
      <c r="C62" s="44"/>
      <c r="D62" s="45"/>
      <c r="E62" s="57"/>
      <c r="F62" s="57"/>
      <c r="G62" s="45"/>
    </row>
    <row r="63" spans="1:7" x14ac:dyDescent="0.25">
      <c r="A63" s="46">
        <f>+A61+1</f>
        <v>26</v>
      </c>
      <c r="B63" s="7" t="s">
        <v>37</v>
      </c>
      <c r="C63" s="44" t="s">
        <v>77</v>
      </c>
      <c r="D63" s="45" t="e">
        <f>+'Abc '!F327</f>
        <v>#REF!</v>
      </c>
      <c r="E63" s="57">
        <v>72</v>
      </c>
      <c r="F63" s="57">
        <v>72</v>
      </c>
      <c r="G63" s="45" t="e">
        <f>+F63*D63</f>
        <v>#REF!</v>
      </c>
    </row>
    <row r="64" spans="1:7" x14ac:dyDescent="0.25">
      <c r="A64" s="46"/>
      <c r="B64" s="15"/>
      <c r="C64" s="44"/>
      <c r="D64" s="45"/>
      <c r="E64" s="57"/>
      <c r="F64" s="57"/>
      <c r="G64" s="45"/>
    </row>
    <row r="65" spans="1:7" x14ac:dyDescent="0.25">
      <c r="A65" s="46">
        <f t="shared" si="0"/>
        <v>27</v>
      </c>
      <c r="B65" s="7" t="s">
        <v>46</v>
      </c>
      <c r="C65" s="44" t="s">
        <v>77</v>
      </c>
      <c r="D65" s="45" t="e">
        <f>+'Abc '!F329</f>
        <v>#REF!</v>
      </c>
      <c r="E65" s="57">
        <v>72</v>
      </c>
      <c r="F65" s="57">
        <v>72</v>
      </c>
      <c r="G65" s="45" t="e">
        <f>+F65*D65</f>
        <v>#REF!</v>
      </c>
    </row>
    <row r="66" spans="1:7" x14ac:dyDescent="0.25">
      <c r="A66" s="46"/>
      <c r="B66" s="15"/>
      <c r="C66" s="44"/>
      <c r="D66" s="45"/>
      <c r="E66" s="57"/>
      <c r="F66" s="57"/>
      <c r="G66" s="45"/>
    </row>
    <row r="67" spans="1:7" x14ac:dyDescent="0.25">
      <c r="A67" s="46">
        <f t="shared" si="0"/>
        <v>28</v>
      </c>
      <c r="B67" s="7" t="s">
        <v>47</v>
      </c>
      <c r="C67" s="44" t="s">
        <v>78</v>
      </c>
      <c r="D67" s="45" t="e">
        <f>+'Abc '!F331</f>
        <v>#REF!</v>
      </c>
      <c r="E67" s="57">
        <v>66</v>
      </c>
      <c r="F67" s="57">
        <v>66</v>
      </c>
      <c r="G67" s="45" t="e">
        <f>+F67*D67</f>
        <v>#REF!</v>
      </c>
    </row>
    <row r="68" spans="1:7" x14ac:dyDescent="0.25">
      <c r="A68" s="46"/>
      <c r="B68" s="15"/>
      <c r="C68" s="44"/>
      <c r="D68" s="45"/>
      <c r="E68" s="57"/>
      <c r="F68" s="57"/>
      <c r="G68" s="45"/>
    </row>
    <row r="69" spans="1:7" x14ac:dyDescent="0.25">
      <c r="A69" s="46">
        <f t="shared" si="0"/>
        <v>29</v>
      </c>
      <c r="B69" s="7" t="s">
        <v>38</v>
      </c>
      <c r="C69" s="44" t="s">
        <v>78</v>
      </c>
      <c r="D69" s="45" t="e">
        <f>+'Abc '!C347</f>
        <v>#REF!</v>
      </c>
      <c r="E69" s="57">
        <v>72</v>
      </c>
      <c r="F69" s="57">
        <v>72</v>
      </c>
      <c r="G69" s="45" t="e">
        <f>+F69*D69</f>
        <v>#REF!</v>
      </c>
    </row>
    <row r="70" spans="1:7" x14ac:dyDescent="0.25">
      <c r="A70" s="46"/>
      <c r="B70" s="15"/>
      <c r="C70" s="44"/>
      <c r="D70" s="45"/>
      <c r="E70" s="57"/>
      <c r="F70" s="57"/>
      <c r="G70" s="45"/>
    </row>
    <row r="71" spans="1:7" x14ac:dyDescent="0.25">
      <c r="A71" s="46">
        <f t="shared" si="0"/>
        <v>30</v>
      </c>
      <c r="B71" s="7" t="s">
        <v>39</v>
      </c>
      <c r="C71" s="44" t="s">
        <v>77</v>
      </c>
      <c r="D71" s="45" t="e">
        <f>+'Abc '!C360</f>
        <v>#REF!</v>
      </c>
      <c r="E71" s="57">
        <v>18</v>
      </c>
      <c r="F71" s="57">
        <v>18</v>
      </c>
      <c r="G71" s="45" t="e">
        <f>+F71*D71</f>
        <v>#REF!</v>
      </c>
    </row>
    <row r="72" spans="1:7" x14ac:dyDescent="0.25">
      <c r="A72" s="46"/>
      <c r="B72" s="15"/>
      <c r="C72" s="44"/>
      <c r="D72" s="45"/>
      <c r="E72" s="57"/>
      <c r="F72" s="57"/>
      <c r="G72" s="45"/>
    </row>
    <row r="73" spans="1:7" x14ac:dyDescent="0.25">
      <c r="A73" s="46">
        <f t="shared" si="0"/>
        <v>31</v>
      </c>
      <c r="B73" s="7" t="s">
        <v>31</v>
      </c>
      <c r="C73" s="44" t="s">
        <v>77</v>
      </c>
      <c r="D73" s="45" t="e">
        <f>+'Abc '!C374</f>
        <v>#REF!</v>
      </c>
      <c r="E73" s="57">
        <v>20.399999999999999</v>
      </c>
      <c r="F73" s="57">
        <v>20.399999999999999</v>
      </c>
      <c r="G73" s="45" t="e">
        <f>+F73*D73</f>
        <v>#REF!</v>
      </c>
    </row>
    <row r="74" spans="1:7" x14ac:dyDescent="0.25">
      <c r="A74" s="46"/>
      <c r="B74" s="15"/>
      <c r="C74" s="44"/>
      <c r="D74" s="45"/>
      <c r="E74" s="57"/>
      <c r="F74" s="57"/>
      <c r="G74" s="45"/>
    </row>
    <row r="75" spans="1:7" x14ac:dyDescent="0.25">
      <c r="A75" s="46">
        <f t="shared" si="0"/>
        <v>32</v>
      </c>
      <c r="B75" s="7" t="s">
        <v>33</v>
      </c>
      <c r="C75" s="44" t="s">
        <v>77</v>
      </c>
      <c r="D75" s="45" t="e">
        <f>+'Abc '!C378</f>
        <v>#REF!</v>
      </c>
      <c r="E75" s="57">
        <v>21.6</v>
      </c>
      <c r="F75" s="57">
        <v>21.6</v>
      </c>
      <c r="G75" s="45" t="e">
        <f>+F75*D75</f>
        <v>#REF!</v>
      </c>
    </row>
    <row r="76" spans="1:7" x14ac:dyDescent="0.25">
      <c r="A76" s="46"/>
      <c r="B76" s="15"/>
      <c r="C76" s="44"/>
      <c r="D76" s="45"/>
      <c r="E76" s="57"/>
      <c r="F76" s="57"/>
      <c r="G76" s="45"/>
    </row>
    <row r="77" spans="1:7" x14ac:dyDescent="0.25">
      <c r="A77" s="46">
        <f>+A75+1</f>
        <v>33</v>
      </c>
      <c r="B77" s="7" t="s">
        <v>32</v>
      </c>
      <c r="C77" s="44" t="s">
        <v>78</v>
      </c>
      <c r="D77" s="45" t="e">
        <f>+'Abc '!C392</f>
        <v>#REF!</v>
      </c>
      <c r="E77" s="57">
        <v>96</v>
      </c>
      <c r="F77" s="57">
        <v>96</v>
      </c>
      <c r="G77" s="45" t="e">
        <f>+F77*D77</f>
        <v>#REF!</v>
      </c>
    </row>
    <row r="78" spans="1:7" x14ac:dyDescent="0.25">
      <c r="A78" s="46"/>
      <c r="B78" s="15"/>
      <c r="C78" s="44"/>
      <c r="D78" s="45"/>
      <c r="E78" s="57"/>
      <c r="F78" s="57"/>
      <c r="G78" s="45"/>
    </row>
    <row r="79" spans="1:7" x14ac:dyDescent="0.25">
      <c r="A79" s="46">
        <f>+A77+1</f>
        <v>34</v>
      </c>
      <c r="B79" s="7" t="s">
        <v>28</v>
      </c>
      <c r="C79" s="44" t="s">
        <v>78</v>
      </c>
      <c r="D79" s="45" t="e">
        <f>+'Abc '!F368</f>
        <v>#REF!</v>
      </c>
      <c r="E79" s="57">
        <v>72</v>
      </c>
      <c r="F79" s="57">
        <v>72</v>
      </c>
      <c r="G79" s="45" t="e">
        <f>+F79*D79</f>
        <v>#REF!</v>
      </c>
    </row>
    <row r="80" spans="1:7" x14ac:dyDescent="0.25">
      <c r="A80" s="46"/>
      <c r="B80" s="15"/>
      <c r="C80" s="44"/>
      <c r="D80" s="45"/>
      <c r="E80" s="57"/>
      <c r="F80" s="57"/>
      <c r="G80" s="45"/>
    </row>
    <row r="81" spans="1:7" x14ac:dyDescent="0.25">
      <c r="A81" s="46">
        <f>+A79+1</f>
        <v>35</v>
      </c>
      <c r="B81" s="7" t="s">
        <v>41</v>
      </c>
      <c r="C81" s="44" t="s">
        <v>78</v>
      </c>
      <c r="D81" s="45" t="e">
        <f>+'Abc '!F378</f>
        <v>#REF!</v>
      </c>
      <c r="E81" s="57">
        <v>86.4</v>
      </c>
      <c r="F81" s="57">
        <v>86.4</v>
      </c>
      <c r="G81" s="45" t="e">
        <f>+F81*D81</f>
        <v>#REF!</v>
      </c>
    </row>
    <row r="82" spans="1:7" x14ac:dyDescent="0.25">
      <c r="A82" s="46"/>
      <c r="B82" s="15"/>
      <c r="C82" s="44"/>
      <c r="D82" s="45"/>
      <c r="E82" s="57"/>
      <c r="F82" s="57"/>
      <c r="G82" s="28"/>
    </row>
    <row r="83" spans="1:7" x14ac:dyDescent="0.25">
      <c r="A83" s="50">
        <f>+A81+1</f>
        <v>36</v>
      </c>
      <c r="B83" s="7" t="s">
        <v>58</v>
      </c>
      <c r="C83" s="44" t="s">
        <v>78</v>
      </c>
      <c r="D83" s="28" t="e">
        <f>+'Abc '!F391</f>
        <v>#REF!</v>
      </c>
      <c r="E83" s="57">
        <v>115.2</v>
      </c>
      <c r="F83" s="57">
        <v>115.2</v>
      </c>
      <c r="G83" s="45" t="e">
        <f>+F83*D83</f>
        <v>#REF!</v>
      </c>
    </row>
    <row r="84" spans="1:7" x14ac:dyDescent="0.25">
      <c r="A84" s="50"/>
      <c r="B84" s="15"/>
      <c r="C84" s="51"/>
      <c r="D84" s="28"/>
      <c r="E84" s="57"/>
      <c r="F84" s="57"/>
      <c r="G84" s="28"/>
    </row>
    <row r="85" spans="1:7" x14ac:dyDescent="0.25">
      <c r="A85" s="46">
        <f>+A83+1</f>
        <v>37</v>
      </c>
      <c r="B85" s="7" t="s">
        <v>62</v>
      </c>
      <c r="C85" s="44" t="s">
        <v>78</v>
      </c>
      <c r="D85" s="45" t="e">
        <f>+'Abc '!C401</f>
        <v>#REF!</v>
      </c>
      <c r="E85" s="57">
        <v>132</v>
      </c>
      <c r="F85" s="57">
        <v>132</v>
      </c>
      <c r="G85" s="45" t="e">
        <f>+F85*D85</f>
        <v>#REF!</v>
      </c>
    </row>
    <row r="86" spans="1:7" ht="12.75" customHeight="1" x14ac:dyDescent="0.25">
      <c r="A86" s="46"/>
      <c r="B86" s="15"/>
      <c r="C86" s="44"/>
      <c r="D86" s="45"/>
      <c r="E86" s="57"/>
      <c r="F86" s="57"/>
      <c r="G86" s="28"/>
    </row>
    <row r="87" spans="1:7" ht="12.75" customHeight="1" x14ac:dyDescent="0.25">
      <c r="A87" s="46">
        <f>+A85+1</f>
        <v>38</v>
      </c>
      <c r="B87" s="7" t="s">
        <v>14</v>
      </c>
      <c r="C87" s="44" t="s">
        <v>78</v>
      </c>
      <c r="D87" s="45" t="e">
        <f>+'Abc '!F414</f>
        <v>#REF!</v>
      </c>
      <c r="E87" s="57">
        <v>96</v>
      </c>
      <c r="F87" s="57">
        <v>96</v>
      </c>
      <c r="G87" s="45" t="e">
        <f>+F87*D87</f>
        <v>#REF!</v>
      </c>
    </row>
    <row r="88" spans="1:7" ht="12.75" customHeight="1" x14ac:dyDescent="0.25">
      <c r="A88" s="46"/>
      <c r="B88" s="15"/>
      <c r="C88" s="44"/>
      <c r="D88" s="45"/>
      <c r="E88" s="57"/>
      <c r="F88" s="57"/>
      <c r="G88" s="28"/>
    </row>
    <row r="89" spans="1:7" ht="12.75" customHeight="1" x14ac:dyDescent="0.25">
      <c r="A89" s="46">
        <f>+A87+1</f>
        <v>39</v>
      </c>
      <c r="B89" s="7" t="s">
        <v>96</v>
      </c>
      <c r="C89" s="44" t="s">
        <v>78</v>
      </c>
      <c r="D89" s="45" t="e">
        <f>+'Abc '!F503</f>
        <v>#REF!</v>
      </c>
      <c r="E89" s="57">
        <v>96</v>
      </c>
      <c r="F89" s="57">
        <v>96</v>
      </c>
      <c r="G89" s="45" t="e">
        <f>+F89*D89</f>
        <v>#REF!</v>
      </c>
    </row>
    <row r="90" spans="1:7" ht="12.75" customHeight="1" x14ac:dyDescent="0.25">
      <c r="A90" s="46"/>
      <c r="B90" s="15"/>
      <c r="C90" s="44"/>
      <c r="D90" s="45"/>
      <c r="E90" s="57"/>
      <c r="F90" s="57"/>
      <c r="G90" s="28"/>
    </row>
    <row r="91" spans="1:7" ht="12.75" customHeight="1" x14ac:dyDescent="0.25">
      <c r="A91" s="46">
        <f>+A89+1</f>
        <v>40</v>
      </c>
      <c r="B91" s="7" t="s">
        <v>25</v>
      </c>
      <c r="C91" s="44" t="s">
        <v>78</v>
      </c>
      <c r="D91" s="45" t="e">
        <f>+'Abc '!F559</f>
        <v>#REF!</v>
      </c>
      <c r="E91" s="57">
        <v>26.4</v>
      </c>
      <c r="F91" s="57">
        <v>26.4</v>
      </c>
      <c r="G91" s="45" t="e">
        <f>+F91*D91</f>
        <v>#REF!</v>
      </c>
    </row>
    <row r="92" spans="1:7" ht="12.75" customHeight="1" x14ac:dyDescent="0.25">
      <c r="A92" s="46"/>
      <c r="B92" s="15"/>
      <c r="C92" s="44"/>
      <c r="D92" s="45"/>
      <c r="E92" s="57"/>
      <c r="F92" s="57"/>
      <c r="G92" s="28"/>
    </row>
    <row r="93" spans="1:7" ht="12.75" customHeight="1" x14ac:dyDescent="0.25">
      <c r="A93" s="46">
        <f>+A91+1</f>
        <v>41</v>
      </c>
      <c r="B93" s="10" t="s">
        <v>29</v>
      </c>
      <c r="C93" s="44" t="s">
        <v>79</v>
      </c>
      <c r="D93" s="45" t="e">
        <f>+'Abc '!C589</f>
        <v>#REF!</v>
      </c>
      <c r="E93" s="57">
        <v>144</v>
      </c>
      <c r="F93" s="57">
        <v>144</v>
      </c>
      <c r="G93" s="45" t="e">
        <f>+F93*D93</f>
        <v>#REF!</v>
      </c>
    </row>
    <row r="94" spans="1:7" ht="12.75" customHeight="1" x14ac:dyDescent="0.25">
      <c r="A94" s="46"/>
      <c r="B94" s="15"/>
      <c r="C94" s="44"/>
      <c r="D94" s="45"/>
      <c r="E94" s="57"/>
      <c r="F94" s="57"/>
      <c r="G94" s="28"/>
    </row>
    <row r="95" spans="1:7" ht="12.75" customHeight="1" x14ac:dyDescent="0.25">
      <c r="A95" s="46">
        <f>+A93+1</f>
        <v>42</v>
      </c>
      <c r="B95" s="7" t="s">
        <v>55</v>
      </c>
      <c r="C95" s="44" t="s">
        <v>79</v>
      </c>
      <c r="D95" s="45" t="e">
        <f>+'Abc '!C613</f>
        <v>#REF!</v>
      </c>
      <c r="E95" s="57">
        <v>90</v>
      </c>
      <c r="F95" s="57">
        <v>90</v>
      </c>
      <c r="G95" s="45" t="e">
        <f>+F95*D95</f>
        <v>#REF!</v>
      </c>
    </row>
    <row r="96" spans="1:7" ht="12.75" customHeight="1" x14ac:dyDescent="0.25">
      <c r="A96" s="46"/>
      <c r="B96" s="15"/>
      <c r="C96" s="44"/>
      <c r="D96" s="45"/>
      <c r="E96" s="57"/>
      <c r="F96" s="57"/>
      <c r="G96" s="28"/>
    </row>
    <row r="97" spans="1:7" ht="12.75" customHeight="1" x14ac:dyDescent="0.25">
      <c r="A97" s="46">
        <f>+A95+1</f>
        <v>43</v>
      </c>
      <c r="B97" s="7" t="s">
        <v>30</v>
      </c>
      <c r="C97" s="44" t="s">
        <v>79</v>
      </c>
      <c r="D97" s="45" t="e">
        <f>+'Abc '!F575</f>
        <v>#REF!</v>
      </c>
      <c r="E97" s="57">
        <v>840</v>
      </c>
      <c r="F97" s="57">
        <v>840</v>
      </c>
      <c r="G97" s="45" t="e">
        <f>+F97*D97</f>
        <v>#REF!</v>
      </c>
    </row>
    <row r="98" spans="1:7" ht="12.75" customHeight="1" x14ac:dyDescent="0.25">
      <c r="A98" s="46"/>
      <c r="B98" s="7"/>
      <c r="C98" s="44"/>
      <c r="D98" s="45"/>
      <c r="E98" s="57"/>
      <c r="F98" s="57"/>
      <c r="G98" s="45"/>
    </row>
    <row r="99" spans="1:7" ht="12.75" customHeight="1" x14ac:dyDescent="0.25">
      <c r="A99" s="46">
        <f>+A97+1</f>
        <v>44</v>
      </c>
      <c r="B99" s="15" t="s">
        <v>86</v>
      </c>
      <c r="C99" s="44" t="s">
        <v>77</v>
      </c>
      <c r="D99" s="45" t="e">
        <f>+'Abc '!F590</f>
        <v>#REF!</v>
      </c>
      <c r="E99" s="57">
        <v>8.4</v>
      </c>
      <c r="F99" s="57">
        <v>8.4</v>
      </c>
      <c r="G99" s="45" t="e">
        <f>+F99*D99</f>
        <v>#REF!</v>
      </c>
    </row>
    <row r="100" spans="1:7" ht="12.75" customHeight="1" x14ac:dyDescent="0.25">
      <c r="A100" s="46"/>
      <c r="B100" s="7"/>
      <c r="C100" s="44"/>
      <c r="D100" s="45"/>
      <c r="E100" s="57"/>
      <c r="F100" s="57"/>
      <c r="G100" s="45"/>
    </row>
    <row r="101" spans="1:7" ht="12.75" customHeight="1" x14ac:dyDescent="0.25">
      <c r="A101" s="46"/>
      <c r="B101" s="7"/>
      <c r="C101" s="44"/>
      <c r="D101" s="45"/>
      <c r="E101" s="45"/>
      <c r="F101" s="49"/>
      <c r="G101" s="45"/>
    </row>
    <row r="102" spans="1:7" ht="12.75" customHeight="1" x14ac:dyDescent="0.25">
      <c r="A102" s="46"/>
      <c r="B102" s="15"/>
      <c r="C102" s="44"/>
      <c r="D102" s="45"/>
      <c r="E102" s="45"/>
      <c r="F102" s="49"/>
      <c r="G102" s="28"/>
    </row>
    <row r="103" spans="1:7" ht="12.75" customHeight="1" x14ac:dyDescent="0.25">
      <c r="A103" s="44"/>
      <c r="B103" s="31"/>
      <c r="C103" s="44"/>
      <c r="D103" s="72" t="s">
        <v>76</v>
      </c>
      <c r="E103" s="72"/>
      <c r="F103" s="72"/>
      <c r="G103" s="21" t="e">
        <f>SUM(G55:G102)</f>
        <v>#REF!</v>
      </c>
    </row>
    <row r="104" spans="1:7" ht="12.75" customHeight="1" x14ac:dyDescent="0.25">
      <c r="A104" s="44"/>
      <c r="B104" s="31"/>
      <c r="C104" s="44"/>
      <c r="D104" s="20"/>
      <c r="E104" s="20"/>
      <c r="F104" s="20"/>
      <c r="G104" s="19"/>
    </row>
    <row r="105" spans="1:7" ht="12.75" customHeight="1" x14ac:dyDescent="0.25">
      <c r="A105" s="44"/>
      <c r="B105" s="31"/>
      <c r="C105" s="44"/>
      <c r="D105" s="73"/>
      <c r="E105" s="73"/>
      <c r="F105" s="73"/>
      <c r="G105" s="19"/>
    </row>
  </sheetData>
  <mergeCells count="11">
    <mergeCell ref="A5:B5"/>
    <mergeCell ref="C5:G5"/>
    <mergeCell ref="A6:G6"/>
    <mergeCell ref="D103:F103"/>
    <mergeCell ref="D105:F105"/>
    <mergeCell ref="C4:G4"/>
    <mergeCell ref="A1:B1"/>
    <mergeCell ref="C1:G1"/>
    <mergeCell ref="A2:B2"/>
    <mergeCell ref="C2:G2"/>
    <mergeCell ref="C3:G3"/>
  </mergeCells>
  <pageMargins left="0.45" right="0.2" top="0.25" bottom="0.2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4"/>
  <sheetViews>
    <sheetView topLeftCell="A121" workbookViewId="0">
      <selection activeCell="K153" sqref="K153"/>
    </sheetView>
  </sheetViews>
  <sheetFormatPr defaultColWidth="9.109375" defaultRowHeight="13.8" x14ac:dyDescent="0.25"/>
  <cols>
    <col min="1" max="1" width="5.109375" style="34" customWidth="1"/>
    <col min="2" max="2" width="44" style="34" customWidth="1"/>
    <col min="3" max="3" width="7.109375" style="34" customWidth="1"/>
    <col min="4" max="4" width="8.33203125" style="34" bestFit="1" customWidth="1"/>
    <col min="5" max="5" width="8" style="34" customWidth="1"/>
    <col min="6" max="6" width="9" style="34" customWidth="1"/>
    <col min="7" max="10" width="10" style="34" customWidth="1"/>
    <col min="11" max="11" width="11.88671875" style="34" bestFit="1" customWidth="1"/>
    <col min="12" max="14" width="9.109375" style="34"/>
    <col min="15" max="15" width="46.33203125" style="34" bestFit="1" customWidth="1"/>
    <col min="16" max="16384" width="9.109375" style="34"/>
  </cols>
  <sheetData>
    <row r="1" spans="1:11" x14ac:dyDescent="0.25">
      <c r="A1" s="70" t="s">
        <v>64</v>
      </c>
      <c r="B1" s="70"/>
      <c r="C1" s="69" t="s">
        <v>65</v>
      </c>
      <c r="D1" s="69"/>
      <c r="E1" s="69"/>
      <c r="F1" s="69"/>
      <c r="G1" s="69"/>
      <c r="H1" s="69"/>
      <c r="I1" s="69"/>
      <c r="J1" s="69"/>
      <c r="K1" s="69"/>
    </row>
    <row r="2" spans="1:11" x14ac:dyDescent="0.25">
      <c r="A2" s="69" t="s">
        <v>66</v>
      </c>
      <c r="B2" s="69"/>
      <c r="C2" s="69" t="s">
        <v>67</v>
      </c>
      <c r="D2" s="69"/>
      <c r="E2" s="69"/>
      <c r="F2" s="69"/>
      <c r="G2" s="69"/>
      <c r="H2" s="69"/>
      <c r="I2" s="69"/>
      <c r="J2" s="69"/>
      <c r="K2" s="69"/>
    </row>
    <row r="3" spans="1:11" x14ac:dyDescent="0.25">
      <c r="A3" s="52" t="s">
        <v>68</v>
      </c>
      <c r="B3" s="52"/>
      <c r="C3" s="69" t="s">
        <v>94</v>
      </c>
      <c r="D3" s="69"/>
      <c r="E3" s="69"/>
      <c r="F3" s="69"/>
      <c r="G3" s="69"/>
      <c r="H3" s="69"/>
      <c r="I3" s="69"/>
      <c r="J3" s="69"/>
      <c r="K3" s="69"/>
    </row>
    <row r="4" spans="1:11" x14ac:dyDescent="0.25">
      <c r="A4" s="30" t="s">
        <v>69</v>
      </c>
      <c r="B4" s="30"/>
      <c r="C4" s="69"/>
      <c r="D4" s="69"/>
      <c r="E4" s="69"/>
      <c r="F4" s="69"/>
      <c r="G4" s="69"/>
      <c r="H4" s="69"/>
      <c r="I4" s="69"/>
      <c r="J4" s="69"/>
      <c r="K4" s="69"/>
    </row>
    <row r="5" spans="1:11" x14ac:dyDescent="0.25">
      <c r="A5" s="63" t="s">
        <v>70</v>
      </c>
      <c r="B5" s="63"/>
      <c r="C5" s="69"/>
      <c r="D5" s="69"/>
      <c r="E5" s="69"/>
      <c r="F5" s="69"/>
      <c r="G5" s="69"/>
      <c r="H5" s="69"/>
      <c r="I5" s="69"/>
      <c r="J5" s="69"/>
      <c r="K5" s="69"/>
    </row>
    <row r="6" spans="1:11" x14ac:dyDescent="0.25">
      <c r="A6" s="71" t="s">
        <v>91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x14ac:dyDescent="0.25">
      <c r="A7" s="35" t="s">
        <v>1</v>
      </c>
      <c r="B7" s="36" t="s">
        <v>71</v>
      </c>
      <c r="C7" s="37" t="s">
        <v>72</v>
      </c>
      <c r="D7" s="39" t="s">
        <v>97</v>
      </c>
      <c r="E7" s="39" t="s">
        <v>97</v>
      </c>
      <c r="F7" s="39" t="s">
        <v>97</v>
      </c>
      <c r="G7" s="39" t="s">
        <v>101</v>
      </c>
      <c r="H7" s="39" t="s">
        <v>103</v>
      </c>
      <c r="I7" s="39" t="s">
        <v>49</v>
      </c>
      <c r="J7" s="39" t="s">
        <v>73</v>
      </c>
      <c r="K7" s="39" t="s">
        <v>9</v>
      </c>
    </row>
    <row r="8" spans="1:11" x14ac:dyDescent="0.25">
      <c r="A8" s="40"/>
      <c r="B8" s="40"/>
      <c r="C8" s="41"/>
      <c r="D8" s="43" t="s">
        <v>100</v>
      </c>
      <c r="E8" s="43" t="s">
        <v>98</v>
      </c>
      <c r="F8" s="43" t="s">
        <v>99</v>
      </c>
      <c r="G8" s="43" t="s">
        <v>102</v>
      </c>
      <c r="H8" s="43" t="s">
        <v>104</v>
      </c>
      <c r="I8" s="43" t="s">
        <v>105</v>
      </c>
      <c r="J8" s="43"/>
      <c r="K8" s="43"/>
    </row>
    <row r="9" spans="1:11" x14ac:dyDescent="0.25">
      <c r="A9" s="44">
        <v>1</v>
      </c>
      <c r="B9" s="15" t="s">
        <v>8</v>
      </c>
      <c r="C9" s="44" t="s">
        <v>77</v>
      </c>
      <c r="D9" s="45" t="e">
        <f>+'Abc '!C17</f>
        <v>#REF!</v>
      </c>
      <c r="E9" s="28">
        <v>1615.48</v>
      </c>
      <c r="F9" s="28">
        <v>2504.2800000000002</v>
      </c>
      <c r="G9" s="28"/>
      <c r="H9" s="28">
        <v>94.84</v>
      </c>
      <c r="I9" s="28" t="e">
        <f>+SUM(D9:H9)</f>
        <v>#REF!</v>
      </c>
      <c r="J9" s="28">
        <v>50.4</v>
      </c>
      <c r="K9" s="28" t="e">
        <f>+J9*I9</f>
        <v>#REF!</v>
      </c>
    </row>
    <row r="10" spans="1:11" x14ac:dyDescent="0.25">
      <c r="A10" s="44"/>
      <c r="B10" s="31"/>
      <c r="C10" s="44"/>
      <c r="D10" s="45"/>
      <c r="E10" s="28"/>
      <c r="F10" s="28"/>
      <c r="G10" s="28"/>
      <c r="H10" s="28"/>
      <c r="I10" s="28"/>
      <c r="J10" s="28"/>
      <c r="K10" s="28"/>
    </row>
    <row r="11" spans="1:11" x14ac:dyDescent="0.25">
      <c r="A11" s="46">
        <f>+A9+1</f>
        <v>2</v>
      </c>
      <c r="B11" s="7" t="s">
        <v>13</v>
      </c>
      <c r="C11" s="44" t="s">
        <v>78</v>
      </c>
      <c r="D11" s="45" t="e">
        <f>+'Abc '!C42</f>
        <v>#REF!</v>
      </c>
      <c r="E11" s="28">
        <v>398.76</v>
      </c>
      <c r="F11" s="28">
        <v>708.36</v>
      </c>
      <c r="G11" s="28"/>
      <c r="H11" s="28">
        <v>29.15</v>
      </c>
      <c r="I11" s="28" t="e">
        <f>+SUM(D11:H11)</f>
        <v>#REF!</v>
      </c>
      <c r="J11" s="28">
        <v>50.4</v>
      </c>
      <c r="K11" s="28" t="e">
        <f>+J11*I11</f>
        <v>#REF!</v>
      </c>
    </row>
    <row r="12" spans="1:11" x14ac:dyDescent="0.25">
      <c r="A12" s="47"/>
      <c r="B12" s="48"/>
      <c r="C12" s="44"/>
      <c r="D12" s="45"/>
      <c r="E12" s="28"/>
      <c r="F12" s="28"/>
      <c r="G12" s="28"/>
      <c r="H12" s="28"/>
      <c r="I12" s="28"/>
      <c r="J12" s="28"/>
      <c r="K12" s="28"/>
    </row>
    <row r="13" spans="1:11" x14ac:dyDescent="0.25">
      <c r="A13" s="44">
        <f>+A11+1</f>
        <v>3</v>
      </c>
      <c r="B13" s="7" t="s">
        <v>15</v>
      </c>
      <c r="C13" s="44" t="s">
        <v>77</v>
      </c>
      <c r="D13" s="45" t="e">
        <f>+'Abc '!C55</f>
        <v>#REF!</v>
      </c>
      <c r="E13" s="28">
        <v>481.01</v>
      </c>
      <c r="F13" s="28">
        <v>1032.93</v>
      </c>
      <c r="G13" s="28"/>
      <c r="H13" s="28"/>
      <c r="I13" s="28" t="e">
        <f>+SUM(D13:H13)</f>
        <v>#REF!</v>
      </c>
      <c r="J13" s="28">
        <v>70</v>
      </c>
      <c r="K13" s="28" t="e">
        <f>+J13*I13</f>
        <v>#REF!</v>
      </c>
    </row>
    <row r="14" spans="1:11" x14ac:dyDescent="0.25">
      <c r="A14" s="44"/>
      <c r="B14" s="31"/>
      <c r="C14" s="44"/>
      <c r="D14" s="45"/>
      <c r="E14" s="28"/>
      <c r="F14" s="28"/>
      <c r="G14" s="28"/>
      <c r="H14" s="28"/>
      <c r="I14" s="28"/>
      <c r="J14" s="28"/>
      <c r="K14" s="28"/>
    </row>
    <row r="15" spans="1:11" x14ac:dyDescent="0.25">
      <c r="A15" s="44">
        <f>+A13+1</f>
        <v>4</v>
      </c>
      <c r="B15" s="7" t="s">
        <v>16</v>
      </c>
      <c r="C15" s="44" t="s">
        <v>78</v>
      </c>
      <c r="D15" s="45" t="e">
        <f>+'Abc '!F15</f>
        <v>#REF!</v>
      </c>
      <c r="E15" s="28">
        <v>7.16</v>
      </c>
      <c r="F15" s="28">
        <v>165.23</v>
      </c>
      <c r="G15" s="28"/>
      <c r="H15" s="28"/>
      <c r="I15" s="28" t="e">
        <f>+SUM(D15:H15)</f>
        <v>#REF!</v>
      </c>
      <c r="J15" s="28">
        <v>50.4</v>
      </c>
      <c r="K15" s="28" t="e">
        <f>+J15*I15</f>
        <v>#REF!</v>
      </c>
    </row>
    <row r="16" spans="1:11" x14ac:dyDescent="0.25">
      <c r="A16" s="44"/>
      <c r="B16" s="23"/>
      <c r="C16" s="44"/>
      <c r="D16" s="15"/>
      <c r="E16" s="28"/>
      <c r="F16" s="28"/>
      <c r="G16" s="28"/>
      <c r="H16" s="28"/>
      <c r="I16" s="28"/>
      <c r="J16" s="28"/>
      <c r="K16" s="28"/>
    </row>
    <row r="17" spans="1:11" x14ac:dyDescent="0.25">
      <c r="A17" s="46">
        <f>+A15+1</f>
        <v>5</v>
      </c>
      <c r="B17" s="7" t="s">
        <v>48</v>
      </c>
      <c r="C17" s="44" t="s">
        <v>77</v>
      </c>
      <c r="D17" s="49" t="e">
        <f>+'Abc '!F28</f>
        <v>#REF!</v>
      </c>
      <c r="E17" s="57">
        <v>87.93</v>
      </c>
      <c r="F17" s="57">
        <v>174.86</v>
      </c>
      <c r="G17" s="57"/>
      <c r="H17" s="57"/>
      <c r="I17" s="28" t="e">
        <f>+SUM(D17:H17)</f>
        <v>#REF!</v>
      </c>
      <c r="J17" s="57">
        <v>50.4</v>
      </c>
      <c r="K17" s="28" t="e">
        <f>+J17*I17</f>
        <v>#REF!</v>
      </c>
    </row>
    <row r="18" spans="1:11" x14ac:dyDescent="0.25">
      <c r="A18" s="44"/>
      <c r="B18" s="31"/>
      <c r="C18" s="44"/>
      <c r="D18" s="45"/>
      <c r="E18" s="28"/>
      <c r="F18" s="28"/>
      <c r="G18" s="28"/>
      <c r="H18" s="28"/>
      <c r="I18" s="28"/>
      <c r="J18" s="28"/>
      <c r="K18" s="28"/>
    </row>
    <row r="19" spans="1:11" x14ac:dyDescent="0.25">
      <c r="A19" s="44">
        <f>+A17+1</f>
        <v>6</v>
      </c>
      <c r="B19" s="7" t="s">
        <v>34</v>
      </c>
      <c r="C19" s="44" t="s">
        <v>77</v>
      </c>
      <c r="D19" s="45" t="e">
        <f>+'Abc '!F41</f>
        <v>#REF!</v>
      </c>
      <c r="E19" s="28">
        <v>605.14</v>
      </c>
      <c r="F19" s="28">
        <v>1283.3699999999999</v>
      </c>
      <c r="G19" s="28"/>
      <c r="H19" s="28"/>
      <c r="I19" s="28" t="e">
        <f>+SUM(D19:H19)</f>
        <v>#REF!</v>
      </c>
      <c r="J19" s="28">
        <v>50.4</v>
      </c>
      <c r="K19" s="28" t="e">
        <f>+J19*I19</f>
        <v>#REF!</v>
      </c>
    </row>
    <row r="20" spans="1:11" x14ac:dyDescent="0.25">
      <c r="A20" s="44"/>
      <c r="B20" s="15"/>
      <c r="C20" s="44"/>
      <c r="D20" s="45"/>
      <c r="E20" s="28"/>
      <c r="F20" s="28"/>
      <c r="G20" s="28"/>
      <c r="H20" s="28"/>
      <c r="I20" s="28"/>
      <c r="J20" s="28"/>
      <c r="K20" s="28"/>
    </row>
    <row r="21" spans="1:11" x14ac:dyDescent="0.25">
      <c r="A21" s="44">
        <f>+A19+1</f>
        <v>7</v>
      </c>
      <c r="B21" s="7" t="s">
        <v>35</v>
      </c>
      <c r="C21" s="44" t="s">
        <v>78</v>
      </c>
      <c r="D21" s="45" t="e">
        <f>+'Abc '!F54</f>
        <v>#REF!</v>
      </c>
      <c r="E21" s="28">
        <v>57.34</v>
      </c>
      <c r="F21" s="28">
        <v>152.44</v>
      </c>
      <c r="G21" s="28"/>
      <c r="H21" s="28"/>
      <c r="I21" s="28" t="e">
        <f>+SUM(D21:H21)</f>
        <v>#REF!</v>
      </c>
      <c r="J21" s="28">
        <v>33.6</v>
      </c>
      <c r="K21" s="28" t="e">
        <f>+J21*I21</f>
        <v>#REF!</v>
      </c>
    </row>
    <row r="22" spans="1:11" x14ac:dyDescent="0.25">
      <c r="A22" s="44"/>
      <c r="B22" s="15"/>
      <c r="C22" s="44"/>
      <c r="D22" s="45"/>
      <c r="E22" s="28"/>
      <c r="F22" s="28"/>
      <c r="G22" s="28"/>
      <c r="H22" s="28"/>
      <c r="I22" s="28"/>
      <c r="J22" s="28"/>
      <c r="K22" s="28"/>
    </row>
    <row r="23" spans="1:11" x14ac:dyDescent="0.25">
      <c r="A23" s="44">
        <f>+A21+1</f>
        <v>8</v>
      </c>
      <c r="B23" s="7" t="s">
        <v>10</v>
      </c>
      <c r="C23" s="44" t="s">
        <v>80</v>
      </c>
      <c r="D23" s="45" t="e">
        <f>+'Abc '!C80</f>
        <v>#REF!</v>
      </c>
      <c r="E23" s="28">
        <v>2005.82</v>
      </c>
      <c r="F23" s="28">
        <v>3087.56</v>
      </c>
      <c r="G23" s="28">
        <v>8972.0300000000007</v>
      </c>
      <c r="H23" s="28">
        <v>29.15</v>
      </c>
      <c r="I23" s="28" t="e">
        <f>+SUM(D23:H23)</f>
        <v>#REF!</v>
      </c>
      <c r="J23" s="28">
        <v>26.4</v>
      </c>
      <c r="K23" s="28" t="e">
        <f>+J23*I23</f>
        <v>#REF!</v>
      </c>
    </row>
    <row r="24" spans="1:11" x14ac:dyDescent="0.25">
      <c r="A24" s="44"/>
      <c r="B24" s="15"/>
      <c r="C24" s="44"/>
      <c r="D24" s="45"/>
      <c r="E24" s="28"/>
      <c r="F24" s="28"/>
      <c r="G24" s="28"/>
      <c r="H24" s="28"/>
      <c r="I24" s="28"/>
      <c r="J24" s="28"/>
      <c r="K24" s="28"/>
    </row>
    <row r="25" spans="1:11" x14ac:dyDescent="0.25">
      <c r="A25" s="46">
        <f>+A23+1</f>
        <v>9</v>
      </c>
      <c r="B25" s="7" t="s">
        <v>12</v>
      </c>
      <c r="C25" s="44" t="s">
        <v>80</v>
      </c>
      <c r="D25" s="49" t="e">
        <f>+'Abc '!C120</f>
        <v>#REF!</v>
      </c>
      <c r="E25" s="28">
        <v>4039.93</v>
      </c>
      <c r="F25" s="28">
        <v>6021.47</v>
      </c>
      <c r="G25" s="28">
        <v>9658.19</v>
      </c>
      <c r="H25" s="28">
        <v>1185.46</v>
      </c>
      <c r="I25" s="28" t="e">
        <f>+SUM(D25:H25)</f>
        <v>#REF!</v>
      </c>
      <c r="J25" s="28">
        <v>4</v>
      </c>
      <c r="K25" s="28" t="e">
        <f>+J25*I25</f>
        <v>#REF!</v>
      </c>
    </row>
    <row r="26" spans="1:11" x14ac:dyDescent="0.25">
      <c r="A26" s="44"/>
      <c r="B26" s="31"/>
      <c r="C26" s="44"/>
      <c r="D26" s="45"/>
      <c r="E26" s="57"/>
      <c r="F26" s="57"/>
      <c r="G26" s="57"/>
      <c r="H26" s="57"/>
      <c r="I26" s="57"/>
      <c r="J26" s="57"/>
      <c r="K26" s="57"/>
    </row>
    <row r="27" spans="1:11" x14ac:dyDescent="0.25">
      <c r="A27" s="46">
        <f>+A25+1</f>
        <v>10</v>
      </c>
      <c r="B27" s="7" t="s">
        <v>17</v>
      </c>
      <c r="C27" s="44" t="s">
        <v>77</v>
      </c>
      <c r="D27" s="45" t="e">
        <f>+'Abc '!C134</f>
        <v>#REF!</v>
      </c>
      <c r="E27" s="57">
        <v>578.70000000000005</v>
      </c>
      <c r="F27" s="57">
        <v>240.43</v>
      </c>
      <c r="G27" s="57">
        <v>793.82</v>
      </c>
      <c r="H27" s="57">
        <v>4.3</v>
      </c>
      <c r="I27" s="28" t="e">
        <f>+SUM(D27:H27)</f>
        <v>#REF!</v>
      </c>
      <c r="J27" s="57">
        <v>110</v>
      </c>
      <c r="K27" s="28" t="e">
        <f>+J27*I27</f>
        <v>#REF!</v>
      </c>
    </row>
    <row r="28" spans="1:11" x14ac:dyDescent="0.25">
      <c r="A28" s="44"/>
      <c r="B28" s="31"/>
      <c r="C28" s="44"/>
      <c r="D28" s="45"/>
      <c r="E28" s="57"/>
      <c r="F28" s="57"/>
      <c r="G28" s="57"/>
      <c r="H28" s="57"/>
      <c r="I28" s="57"/>
      <c r="J28" s="57"/>
      <c r="K28" s="57"/>
    </row>
    <row r="29" spans="1:11" x14ac:dyDescent="0.25">
      <c r="A29" s="46">
        <f>+A27+1</f>
        <v>11</v>
      </c>
      <c r="B29" s="7" t="s">
        <v>18</v>
      </c>
      <c r="C29" s="44" t="s">
        <v>77</v>
      </c>
      <c r="D29" s="45" t="e">
        <f>+'Abc '!C148</f>
        <v>#REF!</v>
      </c>
      <c r="E29" s="57">
        <v>637.61</v>
      </c>
      <c r="F29" s="57">
        <v>240.43</v>
      </c>
      <c r="G29" s="57">
        <v>705.98</v>
      </c>
      <c r="H29" s="57">
        <v>4.3</v>
      </c>
      <c r="I29" s="28" t="e">
        <f>+SUM(D29:H29)</f>
        <v>#REF!</v>
      </c>
      <c r="J29" s="57">
        <v>60</v>
      </c>
      <c r="K29" s="28" t="e">
        <f>+J29*I29</f>
        <v>#REF!</v>
      </c>
    </row>
    <row r="30" spans="1:11" x14ac:dyDescent="0.25">
      <c r="A30" s="44"/>
      <c r="B30" s="31"/>
      <c r="C30" s="44"/>
      <c r="D30" s="45"/>
      <c r="E30" s="57"/>
      <c r="F30" s="57"/>
      <c r="G30" s="57"/>
      <c r="H30" s="57"/>
      <c r="I30" s="57"/>
      <c r="J30" s="57"/>
      <c r="K30" s="57"/>
    </row>
    <row r="31" spans="1:11" x14ac:dyDescent="0.25">
      <c r="A31" s="46">
        <f>+A29+1</f>
        <v>12</v>
      </c>
      <c r="B31" s="7" t="s">
        <v>22</v>
      </c>
      <c r="C31" s="44" t="s">
        <v>78</v>
      </c>
      <c r="D31" s="45" t="e">
        <f>+'Abc '!F158</f>
        <v>#REF!</v>
      </c>
      <c r="E31" s="57">
        <v>1138.93</v>
      </c>
      <c r="F31" s="57">
        <v>1870.92</v>
      </c>
      <c r="G31" s="57">
        <v>1099.99</v>
      </c>
      <c r="H31" s="57">
        <v>110.14</v>
      </c>
      <c r="I31" s="28" t="e">
        <f>+SUM(D31:H31)</f>
        <v>#REF!</v>
      </c>
      <c r="J31" s="57">
        <v>90</v>
      </c>
      <c r="K31" s="28" t="e">
        <f>+J31*I31</f>
        <v>#REF!</v>
      </c>
    </row>
    <row r="32" spans="1:11" x14ac:dyDescent="0.25">
      <c r="A32" s="44"/>
      <c r="B32" s="15"/>
      <c r="C32" s="44"/>
      <c r="D32" s="45"/>
      <c r="E32" s="57"/>
      <c r="F32" s="57"/>
      <c r="G32" s="57"/>
      <c r="H32" s="57"/>
      <c r="I32" s="57"/>
      <c r="J32" s="57"/>
      <c r="K32" s="57"/>
    </row>
    <row r="33" spans="1:11" x14ac:dyDescent="0.25">
      <c r="A33" s="46">
        <f>+A31+1</f>
        <v>13</v>
      </c>
      <c r="B33" s="7" t="s">
        <v>23</v>
      </c>
      <c r="C33" s="44" t="s">
        <v>87</v>
      </c>
      <c r="D33" s="45" t="e">
        <f>+'Abc '!C213</f>
        <v>#REF!</v>
      </c>
      <c r="E33" s="57">
        <v>1223.6500000000001</v>
      </c>
      <c r="F33" s="57">
        <v>1790.06</v>
      </c>
      <c r="G33" s="57">
        <v>1072.57</v>
      </c>
      <c r="H33" s="57">
        <v>462.68</v>
      </c>
      <c r="I33" s="28" t="e">
        <f>+SUM(D33:H33)</f>
        <v>#REF!</v>
      </c>
      <c r="J33" s="57">
        <v>60</v>
      </c>
      <c r="K33" s="28" t="e">
        <f>+J33*I33</f>
        <v>#REF!</v>
      </c>
    </row>
    <row r="34" spans="1:11" x14ac:dyDescent="0.25">
      <c r="A34" s="44"/>
      <c r="B34" s="15"/>
      <c r="C34" s="44"/>
      <c r="D34" s="45"/>
      <c r="E34" s="57"/>
      <c r="F34" s="57"/>
      <c r="G34" s="57"/>
      <c r="H34" s="57"/>
      <c r="I34" s="57"/>
      <c r="J34" s="57"/>
      <c r="K34" s="57"/>
    </row>
    <row r="35" spans="1:11" x14ac:dyDescent="0.25">
      <c r="A35" s="46">
        <f>+A33+1</f>
        <v>14</v>
      </c>
      <c r="B35" s="7" t="s">
        <v>26</v>
      </c>
      <c r="C35" s="44" t="s">
        <v>78</v>
      </c>
      <c r="D35" s="45" t="e">
        <f>+'Abc '!F188</f>
        <v>#REF!</v>
      </c>
      <c r="E35" s="57">
        <v>216.16</v>
      </c>
      <c r="F35" s="57">
        <v>497.77</v>
      </c>
      <c r="G35" s="57">
        <v>11.5</v>
      </c>
      <c r="H35" s="57"/>
      <c r="I35" s="28" t="e">
        <f>+SUM(D35:H35)</f>
        <v>#REF!</v>
      </c>
      <c r="J35" s="57">
        <v>90</v>
      </c>
      <c r="K35" s="28" t="e">
        <f>+J35*I35</f>
        <v>#REF!</v>
      </c>
    </row>
    <row r="36" spans="1:11" x14ac:dyDescent="0.25">
      <c r="A36" s="46"/>
      <c r="B36" s="31"/>
      <c r="C36" s="44"/>
      <c r="D36" s="45"/>
      <c r="E36" s="57"/>
      <c r="F36" s="57"/>
      <c r="G36" s="57"/>
      <c r="H36" s="57"/>
      <c r="I36" s="57"/>
      <c r="J36" s="57"/>
      <c r="K36" s="57"/>
    </row>
    <row r="37" spans="1:11" x14ac:dyDescent="0.25">
      <c r="A37" s="46">
        <f t="shared" ref="A37:A71" si="0">+A35+1</f>
        <v>15</v>
      </c>
      <c r="B37" s="7" t="s">
        <v>27</v>
      </c>
      <c r="C37" s="44" t="s">
        <v>78</v>
      </c>
      <c r="D37" s="45" t="e">
        <f>+'Abc '!F212</f>
        <v>#REF!</v>
      </c>
      <c r="E37" s="57">
        <v>246.3</v>
      </c>
      <c r="F37" s="57">
        <v>497.77</v>
      </c>
      <c r="G37" s="57">
        <v>11.5</v>
      </c>
      <c r="H37" s="57">
        <v>84.14</v>
      </c>
      <c r="I37" s="28" t="e">
        <f>+SUM(D37:H37)</f>
        <v>#REF!</v>
      </c>
      <c r="J37" s="57">
        <v>60</v>
      </c>
      <c r="K37" s="28" t="e">
        <f>+J37*I37</f>
        <v>#REF!</v>
      </c>
    </row>
    <row r="38" spans="1:11" x14ac:dyDescent="0.25">
      <c r="A38" s="46"/>
      <c r="B38" s="31"/>
      <c r="C38" s="44"/>
      <c r="D38" s="45"/>
      <c r="E38" s="57"/>
      <c r="F38" s="57"/>
      <c r="G38" s="57"/>
      <c r="H38" s="57"/>
      <c r="I38" s="57"/>
      <c r="J38" s="57"/>
      <c r="K38" s="57"/>
    </row>
    <row r="39" spans="1:11" x14ac:dyDescent="0.25">
      <c r="A39" s="46">
        <f t="shared" si="0"/>
        <v>16</v>
      </c>
      <c r="B39" s="7" t="s">
        <v>56</v>
      </c>
      <c r="C39" s="44" t="s">
        <v>78</v>
      </c>
      <c r="D39" s="45" t="e">
        <f>+'Abc '!C280</f>
        <v>#REF!</v>
      </c>
      <c r="E39" s="57">
        <v>891.75</v>
      </c>
      <c r="F39" s="57">
        <v>1536.6</v>
      </c>
      <c r="G39" s="57"/>
      <c r="H39" s="57">
        <v>152.44</v>
      </c>
      <c r="I39" s="28" t="e">
        <f>+SUM(D39:H39)</f>
        <v>#REF!</v>
      </c>
      <c r="J39" s="57">
        <v>90</v>
      </c>
      <c r="K39" s="28" t="e">
        <f>+J39*I39</f>
        <v>#REF!</v>
      </c>
    </row>
    <row r="40" spans="1:11" x14ac:dyDescent="0.25">
      <c r="A40" s="46"/>
      <c r="B40" s="31"/>
      <c r="C40" s="44"/>
      <c r="D40" s="45"/>
      <c r="E40" s="57"/>
      <c r="F40" s="57"/>
      <c r="G40" s="57"/>
      <c r="H40" s="57"/>
      <c r="I40" s="57"/>
      <c r="J40" s="57"/>
      <c r="K40" s="57"/>
    </row>
    <row r="41" spans="1:11" x14ac:dyDescent="0.25">
      <c r="A41" s="46">
        <f t="shared" si="0"/>
        <v>17</v>
      </c>
      <c r="B41" s="7" t="s">
        <v>57</v>
      </c>
      <c r="C41" s="44" t="s">
        <v>78</v>
      </c>
      <c r="D41" s="45" t="e">
        <f>+'Abc '!F278</f>
        <v>#REF!</v>
      </c>
      <c r="E41" s="57">
        <v>947.55</v>
      </c>
      <c r="F41" s="57">
        <v>1651.3</v>
      </c>
      <c r="G41" s="57"/>
      <c r="H41" s="57">
        <v>152.44</v>
      </c>
      <c r="I41" s="28" t="e">
        <f>+SUM(D41:H41)</f>
        <v>#REF!</v>
      </c>
      <c r="J41" s="57">
        <v>60</v>
      </c>
      <c r="K41" s="28" t="e">
        <f>+J41*I41</f>
        <v>#REF!</v>
      </c>
    </row>
    <row r="42" spans="1:11" x14ac:dyDescent="0.25">
      <c r="A42" s="46"/>
      <c r="B42" s="31"/>
      <c r="C42" s="44"/>
      <c r="D42" s="45"/>
      <c r="E42" s="57"/>
      <c r="F42" s="57"/>
      <c r="G42" s="57"/>
      <c r="H42" s="57"/>
      <c r="I42" s="57"/>
      <c r="J42" s="57"/>
      <c r="K42" s="57"/>
    </row>
    <row r="43" spans="1:11" x14ac:dyDescent="0.25">
      <c r="A43" s="46">
        <f t="shared" si="0"/>
        <v>18</v>
      </c>
      <c r="B43" s="7" t="s">
        <v>19</v>
      </c>
      <c r="C43" s="44" t="s">
        <v>78</v>
      </c>
      <c r="D43" s="45" t="e">
        <f>+'Abc '!C292</f>
        <v>#REF!</v>
      </c>
      <c r="E43" s="57">
        <v>13.25</v>
      </c>
      <c r="F43" s="57">
        <v>24.75</v>
      </c>
      <c r="G43" s="57"/>
      <c r="H43" s="57"/>
      <c r="I43" s="28" t="e">
        <f>+SUM(D43:H43)</f>
        <v>#REF!</v>
      </c>
      <c r="J43" s="57">
        <v>720</v>
      </c>
      <c r="K43" s="28" t="e">
        <f>+J43*I43</f>
        <v>#REF!</v>
      </c>
    </row>
    <row r="44" spans="1:11" x14ac:dyDescent="0.25">
      <c r="A44" s="46"/>
      <c r="B44" s="31"/>
      <c r="C44" s="44"/>
      <c r="D44" s="45"/>
      <c r="E44" s="57"/>
      <c r="F44" s="57"/>
      <c r="G44" s="57"/>
      <c r="H44" s="57"/>
      <c r="I44" s="57"/>
      <c r="J44" s="57"/>
      <c r="K44" s="57"/>
    </row>
    <row r="45" spans="1:11" x14ac:dyDescent="0.25">
      <c r="A45" s="50">
        <f t="shared" si="0"/>
        <v>19</v>
      </c>
      <c r="B45" s="7" t="s">
        <v>20</v>
      </c>
      <c r="C45" s="44" t="s">
        <v>78</v>
      </c>
      <c r="D45" s="28" t="e">
        <f>+'Abc '!C305</f>
        <v>#REF!</v>
      </c>
      <c r="E45" s="57">
        <v>34.979999999999997</v>
      </c>
      <c r="F45" s="57">
        <v>54.07</v>
      </c>
      <c r="G45" s="57"/>
      <c r="H45" s="57"/>
      <c r="I45" s="28" t="e">
        <f>+SUM(D45:H45)</f>
        <v>#REF!</v>
      </c>
      <c r="J45" s="57">
        <v>720</v>
      </c>
      <c r="K45" s="28" t="e">
        <f>+J45*I45</f>
        <v>#REF!</v>
      </c>
    </row>
    <row r="46" spans="1:11" x14ac:dyDescent="0.25">
      <c r="A46" s="46"/>
      <c r="B46" s="31"/>
      <c r="C46" s="44"/>
      <c r="D46" s="45"/>
      <c r="E46" s="57"/>
      <c r="F46" s="57"/>
      <c r="G46" s="57"/>
      <c r="H46" s="57"/>
      <c r="I46" s="57"/>
      <c r="J46" s="57"/>
      <c r="K46" s="57"/>
    </row>
    <row r="47" spans="1:11" x14ac:dyDescent="0.25">
      <c r="A47" s="46">
        <f t="shared" si="0"/>
        <v>20</v>
      </c>
      <c r="B47" s="7" t="s">
        <v>21</v>
      </c>
      <c r="C47" s="44" t="s">
        <v>77</v>
      </c>
      <c r="D47" s="45" t="e">
        <f>+'Abc '!C318</f>
        <v>#REF!</v>
      </c>
      <c r="E47" s="57">
        <v>113.29</v>
      </c>
      <c r="F47" s="57">
        <v>153.31</v>
      </c>
      <c r="G47" s="57"/>
      <c r="H47" s="57"/>
      <c r="I47" s="28" t="e">
        <f>+SUM(D47:H47)</f>
        <v>#REF!</v>
      </c>
      <c r="J47" s="57">
        <v>60</v>
      </c>
      <c r="K47" s="28" t="e">
        <f>+J47*I47</f>
        <v>#REF!</v>
      </c>
    </row>
    <row r="48" spans="1:11" x14ac:dyDescent="0.25">
      <c r="A48" s="46"/>
      <c r="B48" s="15"/>
      <c r="C48" s="44"/>
      <c r="D48" s="45"/>
      <c r="E48" s="57"/>
      <c r="F48" s="57"/>
      <c r="G48" s="57"/>
      <c r="H48" s="57"/>
      <c r="I48" s="57"/>
      <c r="J48" s="57"/>
      <c r="K48" s="57"/>
    </row>
    <row r="49" spans="1:11" x14ac:dyDescent="0.25">
      <c r="A49" s="46">
        <f>+A47+1</f>
        <v>21</v>
      </c>
      <c r="B49" s="15" t="s">
        <v>42</v>
      </c>
      <c r="C49" s="44" t="s">
        <v>77</v>
      </c>
      <c r="D49" s="45" t="e">
        <f>+'Abc '!C320</f>
        <v>#REF!</v>
      </c>
      <c r="E49" s="57">
        <v>519.34</v>
      </c>
      <c r="F49" s="57">
        <v>438.48</v>
      </c>
      <c r="G49" s="57">
        <v>628.57000000000005</v>
      </c>
      <c r="H49" s="57">
        <v>174.09</v>
      </c>
      <c r="I49" s="28" t="e">
        <f>+SUM(D49:H49)</f>
        <v>#REF!</v>
      </c>
      <c r="J49" s="57">
        <v>90</v>
      </c>
      <c r="K49" s="28" t="e">
        <f>+J49*I49</f>
        <v>#REF!</v>
      </c>
    </row>
    <row r="50" spans="1:11" x14ac:dyDescent="0.25">
      <c r="A50" s="46"/>
      <c r="B50" s="15"/>
      <c r="C50" s="44"/>
      <c r="D50" s="45"/>
      <c r="E50" s="57"/>
      <c r="F50" s="57"/>
      <c r="G50" s="57"/>
      <c r="H50" s="57"/>
      <c r="I50" s="57"/>
      <c r="J50" s="57"/>
      <c r="K50" s="57"/>
    </row>
    <row r="51" spans="1:11" x14ac:dyDescent="0.25">
      <c r="A51" s="46">
        <f t="shared" si="0"/>
        <v>22</v>
      </c>
      <c r="B51" s="7" t="s">
        <v>93</v>
      </c>
      <c r="C51" s="44" t="s">
        <v>77</v>
      </c>
      <c r="D51" s="45" t="e">
        <f>+'Abc '!C322</f>
        <v>#REF!</v>
      </c>
      <c r="E51" s="57">
        <v>137.28</v>
      </c>
      <c r="F51" s="57">
        <v>137.28</v>
      </c>
      <c r="G51" s="57"/>
      <c r="H51" s="57"/>
      <c r="I51" s="28" t="e">
        <f>+SUM(D51:H51)</f>
        <v>#REF!</v>
      </c>
      <c r="J51" s="57">
        <v>1100</v>
      </c>
      <c r="K51" s="28" t="e">
        <f>+J51*I51</f>
        <v>#REF!</v>
      </c>
    </row>
    <row r="52" spans="1:11" x14ac:dyDescent="0.25">
      <c r="A52" s="46"/>
      <c r="B52" s="31"/>
      <c r="C52" s="44"/>
      <c r="D52" s="45"/>
      <c r="E52" s="57"/>
      <c r="F52" s="57"/>
      <c r="G52" s="57"/>
      <c r="H52" s="57"/>
      <c r="I52" s="57"/>
      <c r="J52" s="57"/>
      <c r="K52" s="57"/>
    </row>
    <row r="53" spans="1:11" x14ac:dyDescent="0.25">
      <c r="A53" s="46">
        <f>+A51+1</f>
        <v>23</v>
      </c>
      <c r="B53" s="7" t="s">
        <v>43</v>
      </c>
      <c r="C53" s="44" t="s">
        <v>77</v>
      </c>
      <c r="D53" s="45" t="e">
        <f>+'Abc '!C327</f>
        <v>#REF!</v>
      </c>
      <c r="E53" s="57">
        <v>662.72</v>
      </c>
      <c r="F53" s="57">
        <v>575.76</v>
      </c>
      <c r="G53" s="57">
        <v>606.89</v>
      </c>
      <c r="H53" s="57">
        <v>174.09</v>
      </c>
      <c r="I53" s="28" t="e">
        <f>+SUM(D53:H53)</f>
        <v>#REF!</v>
      </c>
      <c r="J53" s="57">
        <v>60</v>
      </c>
      <c r="K53" s="28" t="e">
        <f>+J53*I53</f>
        <v>#REF!</v>
      </c>
    </row>
    <row r="54" spans="1:11" x14ac:dyDescent="0.25">
      <c r="A54" s="46"/>
      <c r="B54" s="15"/>
      <c r="C54" s="44"/>
      <c r="D54" s="45"/>
      <c r="E54" s="57"/>
      <c r="F54" s="57"/>
      <c r="G54" s="57"/>
      <c r="H54" s="57"/>
      <c r="I54" s="57"/>
      <c r="J54" s="57"/>
      <c r="K54" s="28"/>
    </row>
    <row r="55" spans="1:11" x14ac:dyDescent="0.25">
      <c r="A55" s="46">
        <f>+A53+1</f>
        <v>24</v>
      </c>
      <c r="B55" s="7" t="s">
        <v>89</v>
      </c>
      <c r="C55" s="44" t="s">
        <v>78</v>
      </c>
      <c r="D55" s="45" t="e">
        <f>+'Abc '!F281</f>
        <v>#REF!</v>
      </c>
      <c r="E55" s="57">
        <v>205.88</v>
      </c>
      <c r="F55" s="57">
        <v>180.9</v>
      </c>
      <c r="G55" s="57"/>
      <c r="H55" s="57">
        <v>152.97</v>
      </c>
      <c r="I55" s="28" t="e">
        <f>+SUM(D55:H55)</f>
        <v>#REF!</v>
      </c>
      <c r="J55" s="57">
        <v>1000</v>
      </c>
      <c r="K55" s="28" t="e">
        <f>+J55*I55</f>
        <v>#REF!</v>
      </c>
    </row>
    <row r="56" spans="1:11" x14ac:dyDescent="0.25">
      <c r="A56" s="46"/>
      <c r="B56" s="15"/>
      <c r="C56" s="44"/>
      <c r="D56" s="45"/>
      <c r="E56" s="57"/>
      <c r="F56" s="57"/>
      <c r="G56" s="57"/>
      <c r="H56" s="57"/>
      <c r="I56" s="57"/>
      <c r="J56" s="57"/>
      <c r="K56" s="28"/>
    </row>
    <row r="57" spans="1:11" x14ac:dyDescent="0.25">
      <c r="A57" s="46">
        <f>+A55+1</f>
        <v>25</v>
      </c>
      <c r="B57" s="7" t="s">
        <v>36</v>
      </c>
      <c r="C57" s="44" t="s">
        <v>78</v>
      </c>
      <c r="D57" s="45" t="e">
        <f>+'Abc '!F314</f>
        <v>#REF!</v>
      </c>
      <c r="E57" s="57">
        <v>471.17</v>
      </c>
      <c r="F57" s="57">
        <v>742.51</v>
      </c>
      <c r="G57" s="57">
        <v>1278.71</v>
      </c>
      <c r="H57" s="57">
        <v>202.24</v>
      </c>
      <c r="I57" s="28" t="e">
        <f>+SUM(D57:H57)</f>
        <v>#REF!</v>
      </c>
      <c r="J57" s="57">
        <v>72</v>
      </c>
      <c r="K57" s="28" t="e">
        <f>+J57*I57</f>
        <v>#REF!</v>
      </c>
    </row>
    <row r="58" spans="1:11" x14ac:dyDescent="0.25">
      <c r="A58" s="46"/>
      <c r="B58" s="15"/>
      <c r="C58" s="44"/>
      <c r="D58" s="45"/>
      <c r="E58" s="57"/>
      <c r="F58" s="57"/>
      <c r="G58" s="57"/>
      <c r="H58" s="57"/>
      <c r="I58" s="57"/>
      <c r="J58" s="57"/>
      <c r="K58" s="28"/>
    </row>
    <row r="59" spans="1:11" x14ac:dyDescent="0.25">
      <c r="A59" s="46">
        <f>+A57+1</f>
        <v>26</v>
      </c>
      <c r="B59" s="7" t="s">
        <v>37</v>
      </c>
      <c r="C59" s="44" t="s">
        <v>77</v>
      </c>
      <c r="D59" s="45" t="e">
        <f>+'Abc '!F327</f>
        <v>#REF!</v>
      </c>
      <c r="E59" s="57"/>
      <c r="F59" s="57">
        <v>100.79</v>
      </c>
      <c r="G59" s="57">
        <v>2.5099999999999998</v>
      </c>
      <c r="H59" s="57"/>
      <c r="I59" s="28" t="e">
        <f>+SUM(D59:H59)</f>
        <v>#REF!</v>
      </c>
      <c r="J59" s="57">
        <v>72</v>
      </c>
      <c r="K59" s="28" t="e">
        <f>+J59*I59</f>
        <v>#REF!</v>
      </c>
    </row>
    <row r="60" spans="1:11" x14ac:dyDescent="0.25">
      <c r="A60" s="46"/>
      <c r="B60" s="15"/>
      <c r="C60" s="44"/>
      <c r="D60" s="45"/>
      <c r="E60" s="57"/>
      <c r="F60" s="57"/>
      <c r="G60" s="57"/>
      <c r="H60" s="57"/>
      <c r="I60" s="57"/>
      <c r="J60" s="57"/>
      <c r="K60" s="28"/>
    </row>
    <row r="61" spans="1:11" x14ac:dyDescent="0.25">
      <c r="A61" s="46">
        <f t="shared" si="0"/>
        <v>27</v>
      </c>
      <c r="B61" s="7" t="s">
        <v>46</v>
      </c>
      <c r="C61" s="44" t="s">
        <v>77</v>
      </c>
      <c r="D61" s="45" t="e">
        <f>+'Abc '!F329</f>
        <v>#REF!</v>
      </c>
      <c r="E61" s="57"/>
      <c r="F61" s="57"/>
      <c r="G61" s="57"/>
      <c r="H61" s="57">
        <v>253.98</v>
      </c>
      <c r="I61" s="28" t="e">
        <f>+SUM(D61:H61)</f>
        <v>#REF!</v>
      </c>
      <c r="J61" s="57">
        <v>72</v>
      </c>
      <c r="K61" s="28" t="e">
        <f>+J61*I61</f>
        <v>#REF!</v>
      </c>
    </row>
    <row r="62" spans="1:11" x14ac:dyDescent="0.25">
      <c r="A62" s="46"/>
      <c r="B62" s="15"/>
      <c r="C62" s="44"/>
      <c r="D62" s="45"/>
      <c r="E62" s="57"/>
      <c r="F62" s="57"/>
      <c r="G62" s="57"/>
      <c r="H62" s="57"/>
      <c r="I62" s="57"/>
      <c r="J62" s="57"/>
      <c r="K62" s="28"/>
    </row>
    <row r="63" spans="1:11" x14ac:dyDescent="0.25">
      <c r="A63" s="46">
        <f t="shared" si="0"/>
        <v>28</v>
      </c>
      <c r="B63" s="7" t="s">
        <v>47</v>
      </c>
      <c r="C63" s="44" t="s">
        <v>78</v>
      </c>
      <c r="D63" s="45" t="e">
        <f>+'Abc '!F331</f>
        <v>#REF!</v>
      </c>
      <c r="E63" s="57"/>
      <c r="F63" s="57"/>
      <c r="G63" s="57">
        <v>37.619999999999997</v>
      </c>
      <c r="H63" s="57">
        <v>199.98</v>
      </c>
      <c r="I63" s="28" t="e">
        <f>+SUM(D63:H63)</f>
        <v>#REF!</v>
      </c>
      <c r="J63" s="57">
        <v>66</v>
      </c>
      <c r="K63" s="28" t="e">
        <f>+J63*I63</f>
        <v>#REF!</v>
      </c>
    </row>
    <row r="64" spans="1:11" x14ac:dyDescent="0.25">
      <c r="A64" s="46"/>
      <c r="B64" s="15"/>
      <c r="C64" s="44"/>
      <c r="D64" s="45"/>
      <c r="E64" s="57"/>
      <c r="F64" s="57"/>
      <c r="G64" s="57"/>
      <c r="H64" s="57"/>
      <c r="I64" s="57"/>
      <c r="J64" s="57"/>
      <c r="K64" s="28"/>
    </row>
    <row r="65" spans="1:11" x14ac:dyDescent="0.25">
      <c r="A65" s="46">
        <f t="shared" si="0"/>
        <v>29</v>
      </c>
      <c r="B65" s="7" t="s">
        <v>38</v>
      </c>
      <c r="C65" s="44" t="s">
        <v>78</v>
      </c>
      <c r="D65" s="45" t="e">
        <f>+'Abc '!C347</f>
        <v>#REF!</v>
      </c>
      <c r="E65" s="57"/>
      <c r="F65" s="57">
        <v>159.5</v>
      </c>
      <c r="G65" s="57"/>
      <c r="H65" s="57"/>
      <c r="I65" s="28" t="e">
        <f>+SUM(D65:H65)</f>
        <v>#REF!</v>
      </c>
      <c r="J65" s="57">
        <v>72</v>
      </c>
      <c r="K65" s="28" t="e">
        <f>+J65*I65</f>
        <v>#REF!</v>
      </c>
    </row>
    <row r="66" spans="1:11" x14ac:dyDescent="0.25">
      <c r="A66" s="46"/>
      <c r="B66" s="15"/>
      <c r="C66" s="44"/>
      <c r="D66" s="45"/>
      <c r="E66" s="57"/>
      <c r="F66" s="57"/>
      <c r="G66" s="57"/>
      <c r="H66" s="57"/>
      <c r="I66" s="57"/>
      <c r="J66" s="57"/>
      <c r="K66" s="28"/>
    </row>
    <row r="67" spans="1:11" x14ac:dyDescent="0.25">
      <c r="A67" s="46">
        <f t="shared" si="0"/>
        <v>30</v>
      </c>
      <c r="B67" s="7" t="s">
        <v>39</v>
      </c>
      <c r="C67" s="44" t="s">
        <v>77</v>
      </c>
      <c r="D67" s="45" t="e">
        <f>+'Abc '!C360</f>
        <v>#REF!</v>
      </c>
      <c r="E67" s="57">
        <v>16.84</v>
      </c>
      <c r="F67" s="57">
        <v>247.79</v>
      </c>
      <c r="G67" s="57"/>
      <c r="H67" s="57"/>
      <c r="I67" s="28" t="e">
        <f>+SUM(D67:H67)</f>
        <v>#REF!</v>
      </c>
      <c r="J67" s="57">
        <v>18</v>
      </c>
      <c r="K67" s="28" t="e">
        <f>+J67*I67</f>
        <v>#REF!</v>
      </c>
    </row>
    <row r="68" spans="1:11" x14ac:dyDescent="0.25">
      <c r="A68" s="46"/>
      <c r="B68" s="15"/>
      <c r="C68" s="44"/>
      <c r="D68" s="45"/>
      <c r="E68" s="57"/>
      <c r="F68" s="57"/>
      <c r="G68" s="57"/>
      <c r="H68" s="57"/>
      <c r="I68" s="57"/>
      <c r="J68" s="57"/>
      <c r="K68" s="28"/>
    </row>
    <row r="69" spans="1:11" x14ac:dyDescent="0.25">
      <c r="A69" s="46">
        <f t="shared" si="0"/>
        <v>31</v>
      </c>
      <c r="B69" s="7" t="s">
        <v>31</v>
      </c>
      <c r="C69" s="44" t="s">
        <v>77</v>
      </c>
      <c r="D69" s="45" t="e">
        <f>+'Abc '!C374</f>
        <v>#REF!</v>
      </c>
      <c r="E69" s="57">
        <v>63.42</v>
      </c>
      <c r="F69" s="57">
        <v>121.38</v>
      </c>
      <c r="G69" s="57"/>
      <c r="H69" s="57"/>
      <c r="I69" s="28" t="e">
        <f>+SUM(D69:H69)</f>
        <v>#REF!</v>
      </c>
      <c r="J69" s="57">
        <v>20.399999999999999</v>
      </c>
      <c r="K69" s="28" t="e">
        <f>+J69*I69</f>
        <v>#REF!</v>
      </c>
    </row>
    <row r="70" spans="1:11" x14ac:dyDescent="0.25">
      <c r="A70" s="46"/>
      <c r="B70" s="15"/>
      <c r="C70" s="44"/>
      <c r="D70" s="45"/>
      <c r="E70" s="57"/>
      <c r="F70" s="57"/>
      <c r="G70" s="57"/>
      <c r="H70" s="57"/>
      <c r="I70" s="57"/>
      <c r="J70" s="57"/>
      <c r="K70" s="57"/>
    </row>
    <row r="71" spans="1:11" x14ac:dyDescent="0.25">
      <c r="A71" s="46">
        <f t="shared" si="0"/>
        <v>32</v>
      </c>
      <c r="B71" s="7" t="s">
        <v>33</v>
      </c>
      <c r="C71" s="44" t="s">
        <v>77</v>
      </c>
      <c r="D71" s="45" t="e">
        <f>+'Abc '!C378</f>
        <v>#REF!</v>
      </c>
      <c r="E71" s="57">
        <v>122.3</v>
      </c>
      <c r="F71" s="57">
        <v>214</v>
      </c>
      <c r="G71" s="57"/>
      <c r="H71" s="57"/>
      <c r="I71" s="28" t="e">
        <f>+SUM(D71:H71)</f>
        <v>#REF!</v>
      </c>
      <c r="J71" s="57">
        <v>21.6</v>
      </c>
      <c r="K71" s="28" t="e">
        <f>+J71*I71</f>
        <v>#REF!</v>
      </c>
    </row>
    <row r="72" spans="1:11" x14ac:dyDescent="0.25">
      <c r="A72" s="46"/>
      <c r="B72" s="15"/>
      <c r="C72" s="44"/>
      <c r="D72" s="45"/>
      <c r="E72" s="57"/>
      <c r="F72" s="57"/>
      <c r="G72" s="57"/>
      <c r="H72" s="57"/>
      <c r="I72" s="57"/>
      <c r="J72" s="57"/>
      <c r="K72" s="57"/>
    </row>
    <row r="73" spans="1:11" x14ac:dyDescent="0.25">
      <c r="A73" s="46">
        <f>+A71+1</f>
        <v>33</v>
      </c>
      <c r="B73" s="7" t="s">
        <v>32</v>
      </c>
      <c r="C73" s="44" t="s">
        <v>78</v>
      </c>
      <c r="D73" s="45" t="e">
        <f>+'Abc '!C392</f>
        <v>#REF!</v>
      </c>
      <c r="E73" s="57">
        <v>18.73</v>
      </c>
      <c r="F73" s="57">
        <v>220.52</v>
      </c>
      <c r="G73" s="57">
        <v>286.73</v>
      </c>
      <c r="H73" s="57">
        <v>617.5</v>
      </c>
      <c r="I73" s="28" t="e">
        <f>+SUM(D73:H73)</f>
        <v>#REF!</v>
      </c>
      <c r="J73" s="57">
        <v>96</v>
      </c>
      <c r="K73" s="28" t="e">
        <f>+J73*I73</f>
        <v>#REF!</v>
      </c>
    </row>
    <row r="74" spans="1:11" x14ac:dyDescent="0.25">
      <c r="A74" s="46"/>
      <c r="B74" s="15"/>
      <c r="C74" s="44"/>
      <c r="D74" s="45"/>
      <c r="E74" s="57"/>
      <c r="F74" s="57"/>
      <c r="G74" s="57"/>
      <c r="H74" s="57"/>
      <c r="I74" s="57"/>
      <c r="J74" s="57"/>
      <c r="K74" s="57"/>
    </row>
    <row r="75" spans="1:11" x14ac:dyDescent="0.25">
      <c r="A75" s="46">
        <f>+A73+1</f>
        <v>34</v>
      </c>
      <c r="B75" s="7" t="s">
        <v>28</v>
      </c>
      <c r="C75" s="44" t="s">
        <v>78</v>
      </c>
      <c r="D75" s="45" t="e">
        <f>+'Abc '!F368</f>
        <v>#REF!</v>
      </c>
      <c r="E75" s="57">
        <v>89.2</v>
      </c>
      <c r="F75" s="57">
        <v>540.54</v>
      </c>
      <c r="G75" s="57">
        <v>854.76</v>
      </c>
      <c r="H75" s="57">
        <v>554.41</v>
      </c>
      <c r="I75" s="28" t="e">
        <f>+SUM(D75:H75)</f>
        <v>#REF!</v>
      </c>
      <c r="J75" s="57">
        <v>72</v>
      </c>
      <c r="K75" s="28" t="e">
        <f>+J75*I75</f>
        <v>#REF!</v>
      </c>
    </row>
    <row r="76" spans="1:11" x14ac:dyDescent="0.25">
      <c r="A76" s="46"/>
      <c r="B76" s="15"/>
      <c r="C76" s="44"/>
      <c r="D76" s="45"/>
      <c r="E76" s="57"/>
      <c r="F76" s="57"/>
      <c r="G76" s="57"/>
      <c r="H76" s="57"/>
      <c r="I76" s="57"/>
      <c r="J76" s="57"/>
      <c r="K76" s="57"/>
    </row>
    <row r="77" spans="1:11" x14ac:dyDescent="0.25">
      <c r="A77" s="46">
        <f>+A75+1</f>
        <v>35</v>
      </c>
      <c r="B77" s="7" t="s">
        <v>41</v>
      </c>
      <c r="C77" s="44" t="s">
        <v>78</v>
      </c>
      <c r="D77" s="45" t="e">
        <f>+'Abc '!F378</f>
        <v>#REF!</v>
      </c>
      <c r="E77" s="57">
        <v>86.79</v>
      </c>
      <c r="F77" s="57">
        <v>53.33</v>
      </c>
      <c r="G77" s="57">
        <v>81.97</v>
      </c>
      <c r="H77" s="57">
        <v>428.74</v>
      </c>
      <c r="I77" s="28" t="e">
        <f>+SUM(D77:H77)</f>
        <v>#REF!</v>
      </c>
      <c r="J77" s="57">
        <v>86.4</v>
      </c>
      <c r="K77" s="28" t="e">
        <f>+J77*I77</f>
        <v>#REF!</v>
      </c>
    </row>
    <row r="78" spans="1:11" x14ac:dyDescent="0.25">
      <c r="A78" s="46"/>
      <c r="B78" s="15"/>
      <c r="C78" s="44"/>
      <c r="D78" s="45"/>
      <c r="E78" s="57"/>
      <c r="F78" s="57"/>
      <c r="G78" s="57"/>
      <c r="H78" s="57"/>
      <c r="I78" s="57"/>
      <c r="J78" s="57"/>
      <c r="K78" s="57"/>
    </row>
    <row r="79" spans="1:11" x14ac:dyDescent="0.25">
      <c r="A79" s="50">
        <f>+A77+1</f>
        <v>36</v>
      </c>
      <c r="B79" s="7" t="s">
        <v>58</v>
      </c>
      <c r="C79" s="44" t="s">
        <v>78</v>
      </c>
      <c r="D79" s="28" t="e">
        <f>+'Abc '!F391</f>
        <v>#REF!</v>
      </c>
      <c r="E79" s="57">
        <v>34.9</v>
      </c>
      <c r="F79" s="57">
        <v>54.07</v>
      </c>
      <c r="G79" s="57"/>
      <c r="H79" s="57"/>
      <c r="I79" s="28" t="e">
        <f>+SUM(D79:H79)</f>
        <v>#REF!</v>
      </c>
      <c r="J79" s="57">
        <v>115.2</v>
      </c>
      <c r="K79" s="28" t="e">
        <f>+J79*I79</f>
        <v>#REF!</v>
      </c>
    </row>
    <row r="80" spans="1:11" x14ac:dyDescent="0.25">
      <c r="A80" s="50"/>
      <c r="B80" s="15"/>
      <c r="C80" s="51"/>
      <c r="D80" s="28"/>
      <c r="E80" s="57"/>
      <c r="F80" s="57"/>
      <c r="G80" s="57"/>
      <c r="H80" s="57"/>
      <c r="I80" s="57"/>
      <c r="J80" s="57"/>
      <c r="K80" s="57"/>
    </row>
    <row r="81" spans="1:11" x14ac:dyDescent="0.25">
      <c r="A81" s="46">
        <f>+A79+1</f>
        <v>37</v>
      </c>
      <c r="B81" s="7" t="s">
        <v>62</v>
      </c>
      <c r="C81" s="44" t="s">
        <v>78</v>
      </c>
      <c r="D81" s="45" t="e">
        <f>+'Abc '!C401</f>
        <v>#REF!</v>
      </c>
      <c r="E81" s="57"/>
      <c r="F81" s="57">
        <v>46.08</v>
      </c>
      <c r="G81" s="57">
        <v>78.55</v>
      </c>
      <c r="H81" s="57">
        <v>428.74</v>
      </c>
      <c r="I81" s="28" t="e">
        <f>+SUM(D81:H81)</f>
        <v>#REF!</v>
      </c>
      <c r="J81" s="57">
        <v>132</v>
      </c>
      <c r="K81" s="28" t="e">
        <f>+J81*I81</f>
        <v>#REF!</v>
      </c>
    </row>
    <row r="82" spans="1:11" x14ac:dyDescent="0.25">
      <c r="A82" s="46"/>
      <c r="B82" s="15"/>
      <c r="C82" s="44"/>
      <c r="D82" s="45"/>
      <c r="E82" s="57"/>
      <c r="F82" s="57"/>
      <c r="G82" s="57"/>
      <c r="H82" s="57"/>
      <c r="I82" s="57"/>
      <c r="J82" s="57"/>
      <c r="K82" s="57"/>
    </row>
    <row r="83" spans="1:11" x14ac:dyDescent="0.25">
      <c r="A83" s="46">
        <f>+A81+1</f>
        <v>38</v>
      </c>
      <c r="B83" s="7" t="s">
        <v>14</v>
      </c>
      <c r="C83" s="44" t="s">
        <v>78</v>
      </c>
      <c r="D83" s="45" t="e">
        <f>+'Abc '!F414</f>
        <v>#REF!</v>
      </c>
      <c r="E83" s="57">
        <v>732.31</v>
      </c>
      <c r="F83" s="57">
        <v>788.19</v>
      </c>
      <c r="G83" s="57">
        <v>378.97</v>
      </c>
      <c r="H83" s="57">
        <v>74.87</v>
      </c>
      <c r="I83" s="28" t="e">
        <f>+SUM(D83:H83)</f>
        <v>#REF!</v>
      </c>
      <c r="J83" s="57">
        <v>96</v>
      </c>
      <c r="K83" s="28" t="e">
        <f>+J83*I83</f>
        <v>#REF!</v>
      </c>
    </row>
    <row r="84" spans="1:11" x14ac:dyDescent="0.25">
      <c r="A84" s="46"/>
      <c r="B84" s="15"/>
      <c r="C84" s="44"/>
      <c r="D84" s="45"/>
      <c r="E84" s="57"/>
      <c r="F84" s="57"/>
      <c r="G84" s="57"/>
      <c r="H84" s="57"/>
      <c r="I84" s="57"/>
      <c r="J84" s="57"/>
      <c r="K84" s="57"/>
    </row>
    <row r="85" spans="1:11" x14ac:dyDescent="0.25">
      <c r="A85" s="46">
        <f>+A83+1</f>
        <v>39</v>
      </c>
      <c r="B85" s="7" t="s">
        <v>96</v>
      </c>
      <c r="C85" s="44" t="s">
        <v>78</v>
      </c>
      <c r="D85" s="45" t="e">
        <f>+'Abc '!F503</f>
        <v>#REF!</v>
      </c>
      <c r="E85" s="57">
        <v>1251.8399999999999</v>
      </c>
      <c r="F85" s="57">
        <v>2506.56</v>
      </c>
      <c r="G85" s="57">
        <v>477.09</v>
      </c>
      <c r="H85" s="57">
        <v>453.61</v>
      </c>
      <c r="I85" s="28" t="e">
        <f>+SUM(D85:H85)</f>
        <v>#REF!</v>
      </c>
      <c r="J85" s="57">
        <v>96</v>
      </c>
      <c r="K85" s="28" t="e">
        <f>+J85*I85</f>
        <v>#REF!</v>
      </c>
    </row>
    <row r="86" spans="1:11" x14ac:dyDescent="0.25">
      <c r="A86" s="46"/>
      <c r="B86" s="15"/>
      <c r="C86" s="44"/>
      <c r="D86" s="45"/>
      <c r="E86" s="57"/>
      <c r="F86" s="57"/>
      <c r="G86" s="57"/>
      <c r="H86" s="57"/>
      <c r="I86" s="57"/>
      <c r="J86" s="57"/>
      <c r="K86" s="57"/>
    </row>
    <row r="87" spans="1:11" x14ac:dyDescent="0.25">
      <c r="A87" s="46">
        <f>+A85+1</f>
        <v>40</v>
      </c>
      <c r="B87" s="7" t="s">
        <v>25</v>
      </c>
      <c r="C87" s="44" t="s">
        <v>78</v>
      </c>
      <c r="D87" s="45" t="e">
        <f>+'Abc '!F559</f>
        <v>#REF!</v>
      </c>
      <c r="E87" s="57">
        <v>1790.65</v>
      </c>
      <c r="F87" s="57">
        <v>2101.96</v>
      </c>
      <c r="G87" s="57">
        <v>1920.17</v>
      </c>
      <c r="H87" s="57">
        <v>1561.44</v>
      </c>
      <c r="I87" s="28" t="e">
        <f>+SUM(D87:H87)</f>
        <v>#REF!</v>
      </c>
      <c r="J87" s="57">
        <v>26.4</v>
      </c>
      <c r="K87" s="28" t="e">
        <f>+J87*I87</f>
        <v>#REF!</v>
      </c>
    </row>
    <row r="88" spans="1:11" x14ac:dyDescent="0.25">
      <c r="A88" s="46"/>
      <c r="B88" s="15"/>
      <c r="C88" s="44"/>
      <c r="D88" s="45"/>
      <c r="E88" s="57"/>
      <c r="F88" s="57"/>
      <c r="G88" s="57"/>
      <c r="H88" s="57"/>
      <c r="I88" s="57"/>
      <c r="J88" s="57"/>
      <c r="K88" s="57"/>
    </row>
    <row r="89" spans="1:11" x14ac:dyDescent="0.25">
      <c r="A89" s="46">
        <f>+A87+1</f>
        <v>41</v>
      </c>
      <c r="B89" s="10" t="s">
        <v>29</v>
      </c>
      <c r="C89" s="44" t="s">
        <v>79</v>
      </c>
      <c r="D89" s="45" t="e">
        <f>+'Abc '!C589</f>
        <v>#REF!</v>
      </c>
      <c r="E89" s="57">
        <v>99</v>
      </c>
      <c r="F89" s="57">
        <v>227</v>
      </c>
      <c r="G89" s="57">
        <v>47</v>
      </c>
      <c r="H89" s="57"/>
      <c r="I89" s="28" t="e">
        <f>+SUM(D89:H89)</f>
        <v>#REF!</v>
      </c>
      <c r="J89" s="57">
        <v>144</v>
      </c>
      <c r="K89" s="28" t="e">
        <f>+J89*I89</f>
        <v>#REF!</v>
      </c>
    </row>
    <row r="90" spans="1:11" x14ac:dyDescent="0.25">
      <c r="A90" s="46"/>
      <c r="B90" s="15"/>
      <c r="C90" s="44"/>
      <c r="D90" s="45"/>
      <c r="E90" s="57"/>
      <c r="F90" s="57"/>
      <c r="G90" s="57"/>
      <c r="H90" s="57"/>
      <c r="I90" s="57"/>
      <c r="J90" s="57"/>
      <c r="K90" s="57"/>
    </row>
    <row r="91" spans="1:11" x14ac:dyDescent="0.25">
      <c r="A91" s="46">
        <f>+A89+1</f>
        <v>42</v>
      </c>
      <c r="B91" s="7" t="s">
        <v>55</v>
      </c>
      <c r="C91" s="44" t="s">
        <v>79</v>
      </c>
      <c r="D91" s="45" t="e">
        <f>+'Abc '!C613</f>
        <v>#REF!</v>
      </c>
      <c r="E91" s="57">
        <v>15</v>
      </c>
      <c r="F91" s="57">
        <v>33</v>
      </c>
      <c r="G91" s="57">
        <v>5</v>
      </c>
      <c r="H91" s="57"/>
      <c r="I91" s="28" t="e">
        <f>+SUM(D91:H91)</f>
        <v>#REF!</v>
      </c>
      <c r="J91" s="57">
        <v>90</v>
      </c>
      <c r="K91" s="28" t="e">
        <f>+J91*I91</f>
        <v>#REF!</v>
      </c>
    </row>
    <row r="92" spans="1:11" x14ac:dyDescent="0.25">
      <c r="A92" s="46"/>
      <c r="B92" s="15"/>
      <c r="C92" s="44"/>
      <c r="D92" s="45"/>
      <c r="E92" s="57"/>
      <c r="F92" s="57"/>
      <c r="G92" s="57"/>
      <c r="H92" s="57"/>
      <c r="I92" s="57"/>
      <c r="J92" s="57"/>
      <c r="K92" s="57"/>
    </row>
    <row r="93" spans="1:11" ht="12.75" customHeight="1" x14ac:dyDescent="0.25">
      <c r="A93" s="46">
        <f>+A91+1</f>
        <v>43</v>
      </c>
      <c r="B93" s="7" t="s">
        <v>30</v>
      </c>
      <c r="C93" s="44" t="s">
        <v>79</v>
      </c>
      <c r="D93" s="45" t="e">
        <f>+'Abc '!F575</f>
        <v>#REF!</v>
      </c>
      <c r="E93" s="57">
        <v>9</v>
      </c>
      <c r="F93" s="57">
        <v>21</v>
      </c>
      <c r="G93" s="57">
        <v>5</v>
      </c>
      <c r="H93" s="57"/>
      <c r="I93" s="28" t="e">
        <f>+SUM(D93:H93)</f>
        <v>#REF!</v>
      </c>
      <c r="J93" s="57">
        <v>840</v>
      </c>
      <c r="K93" s="28" t="e">
        <f>+J93*I93</f>
        <v>#REF!</v>
      </c>
    </row>
    <row r="94" spans="1:11" ht="12.75" customHeight="1" x14ac:dyDescent="0.25">
      <c r="A94" s="46"/>
      <c r="B94" s="7"/>
      <c r="C94" s="44"/>
      <c r="D94" s="45"/>
      <c r="E94" s="57"/>
      <c r="F94" s="57"/>
      <c r="G94" s="57"/>
      <c r="H94" s="57"/>
      <c r="I94" s="57"/>
      <c r="J94" s="57"/>
      <c r="K94" s="57"/>
    </row>
    <row r="95" spans="1:11" ht="12.75" customHeight="1" x14ac:dyDescent="0.25">
      <c r="A95" s="46">
        <f>+A93+1</f>
        <v>44</v>
      </c>
      <c r="B95" s="15" t="s">
        <v>86</v>
      </c>
      <c r="C95" s="44" t="s">
        <v>77</v>
      </c>
      <c r="D95" s="45" t="e">
        <f>+'Abc '!F590</f>
        <v>#REF!</v>
      </c>
      <c r="E95" s="57">
        <v>2316.38</v>
      </c>
      <c r="F95" s="57">
        <v>2174.5</v>
      </c>
      <c r="G95" s="57">
        <v>606.9</v>
      </c>
      <c r="H95" s="57"/>
      <c r="I95" s="28" t="e">
        <f>+SUM(D95:H95)</f>
        <v>#REF!</v>
      </c>
      <c r="J95" s="57">
        <v>8.4</v>
      </c>
      <c r="K95" s="28" t="e">
        <f>+J95*I95</f>
        <v>#REF!</v>
      </c>
    </row>
    <row r="96" spans="1:11" ht="12.75" customHeight="1" x14ac:dyDescent="0.25">
      <c r="A96" s="46"/>
      <c r="B96" s="7"/>
      <c r="C96" s="44"/>
      <c r="D96" s="45"/>
      <c r="E96" s="57"/>
      <c r="F96" s="57"/>
      <c r="G96" s="57"/>
      <c r="H96" s="57"/>
      <c r="I96" s="57"/>
      <c r="J96" s="57"/>
      <c r="K96" s="57"/>
    </row>
    <row r="97" spans="1:11" ht="12.75" customHeight="1" x14ac:dyDescent="0.25">
      <c r="A97" s="50">
        <f>+A95+1</f>
        <v>45</v>
      </c>
      <c r="B97" s="7" t="s">
        <v>106</v>
      </c>
      <c r="C97" s="44" t="s">
        <v>78</v>
      </c>
      <c r="D97" s="45"/>
      <c r="E97" s="57">
        <v>309.70999999999998</v>
      </c>
      <c r="F97" s="57"/>
      <c r="G97" s="57"/>
      <c r="H97" s="57"/>
      <c r="I97" s="28">
        <f>+SUM(D97:H97)</f>
        <v>309.70999999999998</v>
      </c>
      <c r="J97" s="57">
        <v>50.4</v>
      </c>
      <c r="K97" s="28">
        <f>+J97*I97</f>
        <v>15609.383999999998</v>
      </c>
    </row>
    <row r="98" spans="1:11" ht="12.75" customHeight="1" x14ac:dyDescent="0.25">
      <c r="A98" s="50"/>
      <c r="B98" s="7"/>
      <c r="C98" s="44"/>
      <c r="D98" s="45"/>
      <c r="E98" s="57"/>
      <c r="F98" s="57"/>
      <c r="G98" s="57"/>
      <c r="H98" s="57"/>
      <c r="I98" s="28"/>
      <c r="J98" s="57"/>
      <c r="K98" s="28"/>
    </row>
    <row r="99" spans="1:11" ht="12.75" customHeight="1" x14ac:dyDescent="0.25">
      <c r="A99" s="46">
        <f>+A97+1</f>
        <v>46</v>
      </c>
      <c r="B99" s="7" t="s">
        <v>107</v>
      </c>
      <c r="C99" s="44" t="s">
        <v>78</v>
      </c>
      <c r="D99" s="45"/>
      <c r="E99" s="57">
        <v>35.81</v>
      </c>
      <c r="F99" s="57"/>
      <c r="G99" s="57"/>
      <c r="H99" s="57"/>
      <c r="I99" s="28">
        <f>+SUM(D99:H99)</f>
        <v>35.81</v>
      </c>
      <c r="J99" s="57">
        <v>72</v>
      </c>
      <c r="K99" s="28">
        <f>+J99*I99</f>
        <v>2578.3200000000002</v>
      </c>
    </row>
    <row r="100" spans="1:11" ht="12.75" customHeight="1" x14ac:dyDescent="0.25">
      <c r="A100" s="46"/>
      <c r="B100" s="7"/>
      <c r="C100" s="44"/>
      <c r="D100" s="45"/>
      <c r="E100" s="57"/>
      <c r="F100" s="57"/>
      <c r="G100" s="57"/>
      <c r="H100" s="57"/>
      <c r="I100" s="28"/>
      <c r="J100" s="57"/>
      <c r="K100" s="28"/>
    </row>
    <row r="101" spans="1:11" ht="12.75" customHeight="1" x14ac:dyDescent="0.25">
      <c r="A101" s="46">
        <f>+A99+1</f>
        <v>47</v>
      </c>
      <c r="B101" s="7" t="s">
        <v>108</v>
      </c>
      <c r="C101" s="44" t="s">
        <v>77</v>
      </c>
      <c r="D101" s="45"/>
      <c r="E101" s="57">
        <v>4.8499999999999996</v>
      </c>
      <c r="F101" s="57"/>
      <c r="G101" s="57"/>
      <c r="H101" s="57"/>
      <c r="I101" s="28">
        <f>+SUM(D101:H101)</f>
        <v>4.8499999999999996</v>
      </c>
      <c r="J101" s="57">
        <v>78</v>
      </c>
      <c r="K101" s="28">
        <f>+J101*I101</f>
        <v>378.29999999999995</v>
      </c>
    </row>
    <row r="102" spans="1:11" ht="12.75" customHeight="1" x14ac:dyDescent="0.25">
      <c r="A102" s="46"/>
      <c r="B102" s="7"/>
      <c r="C102" s="44"/>
      <c r="D102" s="45"/>
      <c r="E102" s="57"/>
      <c r="F102" s="57"/>
      <c r="G102" s="57"/>
      <c r="H102" s="57"/>
      <c r="I102" s="28"/>
      <c r="J102" s="57"/>
      <c r="K102" s="28"/>
    </row>
    <row r="103" spans="1:11" ht="12.75" customHeight="1" x14ac:dyDescent="0.25">
      <c r="A103" s="46">
        <f>+A101+1</f>
        <v>48</v>
      </c>
      <c r="B103" s="7" t="s">
        <v>109</v>
      </c>
      <c r="C103" s="44" t="s">
        <v>78</v>
      </c>
      <c r="D103" s="45"/>
      <c r="E103" s="57"/>
      <c r="F103" s="57">
        <v>690.32</v>
      </c>
      <c r="G103" s="57"/>
      <c r="H103" s="57"/>
      <c r="I103" s="28">
        <f>+SUM(D103:H103)</f>
        <v>690.32</v>
      </c>
      <c r="J103" s="57">
        <v>78</v>
      </c>
      <c r="K103" s="28">
        <f>+J103*I103</f>
        <v>53844.960000000006</v>
      </c>
    </row>
    <row r="104" spans="1:11" ht="12.75" customHeight="1" x14ac:dyDescent="0.25">
      <c r="A104" s="46"/>
      <c r="B104" s="7"/>
      <c r="C104" s="44"/>
      <c r="D104" s="45"/>
      <c r="E104" s="57"/>
      <c r="F104" s="57"/>
      <c r="G104" s="57"/>
      <c r="H104" s="57"/>
      <c r="I104" s="28"/>
      <c r="J104" s="57"/>
      <c r="K104" s="28"/>
    </row>
    <row r="105" spans="1:11" ht="12.75" customHeight="1" x14ac:dyDescent="0.25">
      <c r="A105" s="46">
        <f>+A103+1</f>
        <v>49</v>
      </c>
      <c r="B105" s="7" t="s">
        <v>110</v>
      </c>
      <c r="C105" s="44" t="s">
        <v>77</v>
      </c>
      <c r="D105" s="45"/>
      <c r="E105" s="57"/>
      <c r="F105" s="57">
        <v>36.76</v>
      </c>
      <c r="G105" s="57"/>
      <c r="H105" s="57"/>
      <c r="I105" s="28">
        <f>+SUM(D105:H105)</f>
        <v>36.76</v>
      </c>
      <c r="J105" s="57">
        <v>78</v>
      </c>
      <c r="K105" s="28">
        <f>+J105*I105</f>
        <v>2867.2799999999997</v>
      </c>
    </row>
    <row r="106" spans="1:11" ht="12.75" customHeight="1" x14ac:dyDescent="0.25">
      <c r="A106" s="46"/>
      <c r="B106" s="7"/>
      <c r="C106" s="44"/>
      <c r="D106" s="45"/>
      <c r="E106" s="57"/>
      <c r="F106" s="57"/>
      <c r="G106" s="57"/>
      <c r="H106" s="57"/>
      <c r="I106" s="28"/>
      <c r="J106" s="57"/>
      <c r="K106" s="28"/>
    </row>
    <row r="107" spans="1:11" ht="12.75" customHeight="1" x14ac:dyDescent="0.25">
      <c r="A107" s="46">
        <f>+A105+1</f>
        <v>50</v>
      </c>
      <c r="B107" s="7" t="s">
        <v>111</v>
      </c>
      <c r="C107" s="44" t="s">
        <v>78</v>
      </c>
      <c r="D107" s="45"/>
      <c r="E107" s="57"/>
      <c r="F107" s="57">
        <v>8.33</v>
      </c>
      <c r="G107" s="57"/>
      <c r="H107" s="57"/>
      <c r="I107" s="28">
        <f>+SUM(D107:H107)</f>
        <v>8.33</v>
      </c>
      <c r="J107" s="57">
        <v>78</v>
      </c>
      <c r="K107" s="28">
        <f>+J107*I107</f>
        <v>649.74</v>
      </c>
    </row>
    <row r="108" spans="1:11" ht="12.75" customHeight="1" x14ac:dyDescent="0.25">
      <c r="A108" s="46"/>
      <c r="B108" s="7"/>
      <c r="C108" s="44"/>
      <c r="D108" s="45"/>
      <c r="E108" s="57"/>
      <c r="F108" s="57"/>
      <c r="G108" s="57"/>
      <c r="H108" s="57"/>
      <c r="I108" s="28"/>
      <c r="J108" s="57"/>
      <c r="K108" s="28"/>
    </row>
    <row r="109" spans="1:11" ht="12.75" customHeight="1" x14ac:dyDescent="0.25">
      <c r="A109" s="46">
        <f>+A107+1</f>
        <v>51</v>
      </c>
      <c r="B109" s="7" t="s">
        <v>112</v>
      </c>
      <c r="C109" s="44" t="s">
        <v>78</v>
      </c>
      <c r="D109" s="45"/>
      <c r="E109" s="57"/>
      <c r="F109" s="57"/>
      <c r="G109" s="57">
        <v>159.35</v>
      </c>
      <c r="H109" s="57">
        <v>621.41999999999996</v>
      </c>
      <c r="I109" s="28">
        <f>+SUM(D109:H109)</f>
        <v>780.77</v>
      </c>
      <c r="J109" s="57">
        <v>72</v>
      </c>
      <c r="K109" s="28">
        <f>+J109*I109</f>
        <v>56215.44</v>
      </c>
    </row>
    <row r="110" spans="1:11" ht="12.75" customHeight="1" x14ac:dyDescent="0.25">
      <c r="A110" s="46"/>
      <c r="B110" s="7"/>
      <c r="C110" s="44"/>
      <c r="D110" s="45"/>
      <c r="E110" s="57"/>
      <c r="F110" s="57"/>
      <c r="G110" s="57"/>
      <c r="H110" s="57"/>
      <c r="I110" s="28"/>
      <c r="J110" s="57"/>
      <c r="K110" s="28"/>
    </row>
    <row r="111" spans="1:11" ht="12.75" customHeight="1" x14ac:dyDescent="0.25">
      <c r="A111" s="46">
        <f>+A109+1</f>
        <v>52</v>
      </c>
      <c r="B111" s="7" t="s">
        <v>113</v>
      </c>
      <c r="C111" s="44" t="s">
        <v>77</v>
      </c>
      <c r="D111" s="45"/>
      <c r="E111" s="57"/>
      <c r="F111" s="57"/>
      <c r="G111" s="57">
        <v>5239.79</v>
      </c>
      <c r="H111" s="57"/>
      <c r="I111" s="28">
        <f>+SUM(D111:H111)</f>
        <v>5239.79</v>
      </c>
      <c r="J111" s="57">
        <v>54</v>
      </c>
      <c r="K111" s="28">
        <f>+J111*I111</f>
        <v>282948.65999999997</v>
      </c>
    </row>
    <row r="112" spans="1:11" ht="12.75" customHeight="1" x14ac:dyDescent="0.25">
      <c r="A112" s="46"/>
      <c r="B112" s="7"/>
      <c r="C112" s="44"/>
      <c r="D112" s="45"/>
      <c r="E112" s="57"/>
      <c r="F112" s="57"/>
      <c r="G112" s="57"/>
      <c r="H112" s="57"/>
      <c r="I112" s="28"/>
      <c r="J112" s="57"/>
      <c r="K112" s="28"/>
    </row>
    <row r="113" spans="1:11" ht="12.75" customHeight="1" x14ac:dyDescent="0.25">
      <c r="A113" s="46">
        <f>+A111+1</f>
        <v>53</v>
      </c>
      <c r="B113" s="7" t="s">
        <v>114</v>
      </c>
      <c r="C113" s="44" t="s">
        <v>77</v>
      </c>
      <c r="D113" s="45"/>
      <c r="E113" s="57"/>
      <c r="F113" s="57"/>
      <c r="G113" s="57">
        <v>2952.52</v>
      </c>
      <c r="H113" s="57"/>
      <c r="I113" s="28">
        <f>+SUM(D113:H113)</f>
        <v>2952.52</v>
      </c>
      <c r="J113" s="57">
        <v>50.4</v>
      </c>
      <c r="K113" s="28">
        <f>+J113*I113</f>
        <v>148807.008</v>
      </c>
    </row>
    <row r="114" spans="1:11" ht="12.75" customHeight="1" x14ac:dyDescent="0.25">
      <c r="A114" s="46"/>
      <c r="B114" s="7"/>
      <c r="C114" s="44"/>
      <c r="D114" s="45"/>
      <c r="E114" s="57"/>
      <c r="F114" s="57"/>
      <c r="G114" s="57"/>
      <c r="H114" s="57"/>
      <c r="I114" s="57"/>
      <c r="J114" s="57"/>
      <c r="K114" s="28"/>
    </row>
    <row r="115" spans="1:11" ht="12.75" customHeight="1" x14ac:dyDescent="0.25">
      <c r="A115" s="46">
        <f>+A113+1</f>
        <v>54</v>
      </c>
      <c r="B115" s="7" t="s">
        <v>115</v>
      </c>
      <c r="C115" s="44" t="s">
        <v>78</v>
      </c>
      <c r="D115" s="45"/>
      <c r="E115" s="57"/>
      <c r="F115" s="57"/>
      <c r="G115" s="57">
        <v>587.80999999999995</v>
      </c>
      <c r="H115" s="57"/>
      <c r="I115" s="28">
        <f>+SUM(D115:H115)</f>
        <v>587.80999999999995</v>
      </c>
      <c r="J115" s="57">
        <v>31.2</v>
      </c>
      <c r="K115" s="28">
        <f>+J115*I115</f>
        <v>18339.671999999999</v>
      </c>
    </row>
    <row r="116" spans="1:11" ht="12.75" customHeight="1" x14ac:dyDescent="0.25">
      <c r="A116" s="46"/>
      <c r="B116" s="7"/>
      <c r="C116" s="44"/>
      <c r="D116" s="45"/>
      <c r="E116" s="57"/>
      <c r="F116" s="57"/>
      <c r="G116" s="57"/>
      <c r="H116" s="57"/>
      <c r="I116" s="57"/>
      <c r="J116" s="57"/>
      <c r="K116" s="28"/>
    </row>
    <row r="117" spans="1:11" ht="12.75" customHeight="1" x14ac:dyDescent="0.25">
      <c r="A117" s="46">
        <f>+A115+1</f>
        <v>55</v>
      </c>
      <c r="B117" s="7" t="s">
        <v>116</v>
      </c>
      <c r="C117" s="44" t="s">
        <v>77</v>
      </c>
      <c r="D117" s="45"/>
      <c r="E117" s="57"/>
      <c r="F117" s="57"/>
      <c r="G117" s="57">
        <v>249.66</v>
      </c>
      <c r="H117" s="57"/>
      <c r="I117" s="28">
        <f>+SUM(D117:H117)</f>
        <v>249.66</v>
      </c>
      <c r="J117" s="57">
        <v>33.6</v>
      </c>
      <c r="K117" s="28">
        <f>+J117*I117</f>
        <v>8388.5760000000009</v>
      </c>
    </row>
    <row r="118" spans="1:11" ht="12.75" customHeight="1" x14ac:dyDescent="0.25">
      <c r="A118" s="46"/>
      <c r="B118" s="7"/>
      <c r="C118" s="44"/>
      <c r="D118" s="45"/>
      <c r="E118" s="57"/>
      <c r="F118" s="57"/>
      <c r="G118" s="57"/>
      <c r="H118" s="57"/>
      <c r="I118" s="57"/>
      <c r="J118" s="57"/>
      <c r="K118" s="28"/>
    </row>
    <row r="119" spans="1:11" ht="12.75" customHeight="1" x14ac:dyDescent="0.25">
      <c r="A119" s="46">
        <f>+A117+1</f>
        <v>56</v>
      </c>
      <c r="B119" s="7" t="s">
        <v>117</v>
      </c>
      <c r="C119" s="44" t="s">
        <v>78</v>
      </c>
      <c r="D119" s="45"/>
      <c r="E119" s="57"/>
      <c r="F119" s="57"/>
      <c r="G119" s="57">
        <v>257.55</v>
      </c>
      <c r="H119" s="57"/>
      <c r="I119" s="28">
        <f>+SUM(D119:H119)</f>
        <v>257.55</v>
      </c>
      <c r="J119" s="57">
        <v>54</v>
      </c>
      <c r="K119" s="28">
        <f>+J119*I119</f>
        <v>13907.7</v>
      </c>
    </row>
    <row r="120" spans="1:11" ht="12.75" customHeight="1" x14ac:dyDescent="0.25">
      <c r="A120" s="46"/>
      <c r="B120" s="7"/>
      <c r="C120" s="44"/>
      <c r="D120" s="45"/>
      <c r="E120" s="57"/>
      <c r="F120" s="57"/>
      <c r="G120" s="57"/>
      <c r="H120" s="57"/>
      <c r="I120" s="57"/>
      <c r="J120" s="57"/>
      <c r="K120" s="57"/>
    </row>
    <row r="121" spans="1:11" ht="12.75" customHeight="1" x14ac:dyDescent="0.25">
      <c r="A121" s="46">
        <f>+A119+1</f>
        <v>57</v>
      </c>
      <c r="B121" s="7" t="s">
        <v>118</v>
      </c>
      <c r="C121" s="44" t="s">
        <v>78</v>
      </c>
      <c r="D121" s="45"/>
      <c r="E121" s="57"/>
      <c r="F121" s="57"/>
      <c r="G121" s="57">
        <v>64.38</v>
      </c>
      <c r="H121" s="57"/>
      <c r="I121" s="28">
        <f>+SUM(D121:H121)</f>
        <v>64.38</v>
      </c>
      <c r="J121" s="57">
        <v>800</v>
      </c>
      <c r="K121" s="28">
        <f>+J121*I121</f>
        <v>51504</v>
      </c>
    </row>
    <row r="122" spans="1:11" ht="12.75" customHeight="1" x14ac:dyDescent="0.25">
      <c r="A122" s="46"/>
      <c r="B122" s="7"/>
      <c r="C122" s="44"/>
      <c r="D122" s="45"/>
      <c r="E122" s="57"/>
      <c r="F122" s="57"/>
      <c r="G122" s="57"/>
      <c r="H122" s="57"/>
      <c r="I122" s="57"/>
      <c r="J122" s="57"/>
      <c r="K122" s="57"/>
    </row>
    <row r="123" spans="1:11" ht="12.75" customHeight="1" x14ac:dyDescent="0.25">
      <c r="A123" s="46">
        <f>+A121+1</f>
        <v>58</v>
      </c>
      <c r="B123" s="7" t="s">
        <v>119</v>
      </c>
      <c r="C123" s="44" t="s">
        <v>78</v>
      </c>
      <c r="D123" s="45"/>
      <c r="E123" s="57"/>
      <c r="F123" s="57"/>
      <c r="G123" s="57">
        <v>14.4</v>
      </c>
      <c r="H123" s="57"/>
      <c r="I123" s="28">
        <f>+SUM(D123:H123)</f>
        <v>14.4</v>
      </c>
      <c r="J123" s="57">
        <v>750</v>
      </c>
      <c r="K123" s="28">
        <f>+J123*I123</f>
        <v>10800</v>
      </c>
    </row>
    <row r="124" spans="1:11" ht="12.75" customHeight="1" x14ac:dyDescent="0.25">
      <c r="A124" s="46"/>
      <c r="B124" s="7"/>
      <c r="C124" s="44"/>
      <c r="D124" s="45"/>
      <c r="E124" s="57"/>
      <c r="F124" s="57"/>
      <c r="G124" s="57"/>
      <c r="H124" s="57"/>
      <c r="I124" s="57"/>
      <c r="J124" s="57"/>
      <c r="K124" s="57"/>
    </row>
    <row r="125" spans="1:11" ht="12.75" customHeight="1" x14ac:dyDescent="0.25">
      <c r="A125" s="46">
        <f>+A123+1</f>
        <v>59</v>
      </c>
      <c r="B125" s="7" t="s">
        <v>120</v>
      </c>
      <c r="C125" s="44" t="s">
        <v>78</v>
      </c>
      <c r="D125" s="45"/>
      <c r="E125" s="57"/>
      <c r="F125" s="57"/>
      <c r="G125" s="57">
        <v>12.46</v>
      </c>
      <c r="H125" s="57"/>
      <c r="I125" s="28">
        <v>12.471</v>
      </c>
      <c r="J125" s="57">
        <v>750</v>
      </c>
      <c r="K125" s="28">
        <f>+J125*I125</f>
        <v>9353.25</v>
      </c>
    </row>
    <row r="126" spans="1:11" ht="12.75" customHeight="1" x14ac:dyDescent="0.25">
      <c r="A126" s="46"/>
      <c r="B126" s="7"/>
      <c r="C126" s="44"/>
      <c r="D126" s="45"/>
      <c r="E126" s="57"/>
      <c r="F126" s="57"/>
      <c r="G126" s="57"/>
      <c r="H126" s="57"/>
      <c r="I126" s="57"/>
      <c r="J126" s="57"/>
      <c r="K126" s="57"/>
    </row>
    <row r="127" spans="1:11" ht="12.75" customHeight="1" x14ac:dyDescent="0.25">
      <c r="A127" s="46">
        <f>+A125+1</f>
        <v>60</v>
      </c>
      <c r="B127" s="7" t="s">
        <v>121</v>
      </c>
      <c r="C127" s="44" t="s">
        <v>78</v>
      </c>
      <c r="D127" s="45"/>
      <c r="E127" s="57"/>
      <c r="F127" s="57"/>
      <c r="G127" s="57">
        <v>39.840000000000003</v>
      </c>
      <c r="H127" s="57"/>
      <c r="I127" s="28">
        <f>+SUM(D127:H127)</f>
        <v>39.840000000000003</v>
      </c>
      <c r="J127" s="57">
        <v>90</v>
      </c>
      <c r="K127" s="28">
        <f>+J127*I127</f>
        <v>3585.6000000000004</v>
      </c>
    </row>
    <row r="128" spans="1:11" ht="12.75" customHeight="1" x14ac:dyDescent="0.25">
      <c r="A128" s="46"/>
      <c r="B128" s="7"/>
      <c r="C128" s="44"/>
      <c r="D128" s="45"/>
      <c r="E128" s="57"/>
      <c r="F128" s="57"/>
      <c r="G128" s="57"/>
      <c r="H128" s="57"/>
      <c r="I128" s="57"/>
      <c r="J128" s="57"/>
      <c r="K128" s="57"/>
    </row>
    <row r="129" spans="1:11" ht="12.75" customHeight="1" x14ac:dyDescent="0.25">
      <c r="A129" s="46">
        <f>+A127+1</f>
        <v>61</v>
      </c>
      <c r="B129" s="7" t="s">
        <v>122</v>
      </c>
      <c r="C129" s="44" t="s">
        <v>78</v>
      </c>
      <c r="D129" s="45"/>
      <c r="E129" s="57"/>
      <c r="F129" s="57"/>
      <c r="G129" s="57">
        <v>5.82</v>
      </c>
      <c r="H129" s="57">
        <v>428.74</v>
      </c>
      <c r="I129" s="28">
        <f>+SUM(D129:H129)</f>
        <v>434.56</v>
      </c>
      <c r="J129" s="57">
        <v>96</v>
      </c>
      <c r="K129" s="28">
        <f>+J129*I129</f>
        <v>41717.760000000002</v>
      </c>
    </row>
    <row r="130" spans="1:11" ht="12.75" customHeight="1" x14ac:dyDescent="0.25">
      <c r="A130" s="46"/>
      <c r="B130" s="7"/>
      <c r="C130" s="44"/>
      <c r="D130" s="45"/>
      <c r="E130" s="57"/>
      <c r="F130" s="57"/>
      <c r="G130" s="57"/>
      <c r="H130" s="57"/>
      <c r="I130" s="57"/>
      <c r="J130" s="57"/>
      <c r="K130" s="57"/>
    </row>
    <row r="131" spans="1:11" ht="12.75" customHeight="1" x14ac:dyDescent="0.25">
      <c r="A131" s="46">
        <f>+A129+1</f>
        <v>62</v>
      </c>
      <c r="B131" s="7" t="s">
        <v>123</v>
      </c>
      <c r="C131" s="44" t="s">
        <v>78</v>
      </c>
      <c r="D131" s="45"/>
      <c r="E131" s="57"/>
      <c r="F131" s="57"/>
      <c r="G131" s="57">
        <v>52.2</v>
      </c>
      <c r="H131" s="57"/>
      <c r="I131" s="28">
        <f>+SUM(D131:H131)</f>
        <v>52.2</v>
      </c>
      <c r="J131" s="57">
        <v>72</v>
      </c>
      <c r="K131" s="28">
        <f>+J131*I131</f>
        <v>3758.4</v>
      </c>
    </row>
    <row r="132" spans="1:11" ht="12.75" customHeight="1" x14ac:dyDescent="0.25">
      <c r="A132" s="46"/>
      <c r="B132" s="7"/>
      <c r="C132" s="44"/>
      <c r="D132" s="45"/>
      <c r="E132" s="57"/>
      <c r="F132" s="57"/>
      <c r="G132" s="57"/>
      <c r="H132" s="57"/>
      <c r="I132" s="57"/>
      <c r="J132" s="57"/>
      <c r="K132" s="57"/>
    </row>
    <row r="133" spans="1:11" ht="12.75" customHeight="1" x14ac:dyDescent="0.25">
      <c r="A133" s="46">
        <f>+A131+1</f>
        <v>63</v>
      </c>
      <c r="B133" s="7" t="s">
        <v>124</v>
      </c>
      <c r="C133" s="44" t="s">
        <v>78</v>
      </c>
      <c r="D133" s="45"/>
      <c r="E133" s="57"/>
      <c r="F133" s="57"/>
      <c r="G133" s="57">
        <v>311.56</v>
      </c>
      <c r="H133" s="57">
        <v>110.14</v>
      </c>
      <c r="I133" s="28">
        <f>+SUM(D133:H133)</f>
        <v>421.7</v>
      </c>
      <c r="J133" s="57">
        <v>21.6</v>
      </c>
      <c r="K133" s="28">
        <f>+J133*I133</f>
        <v>9108.7200000000012</v>
      </c>
    </row>
    <row r="134" spans="1:11" ht="12.75" customHeight="1" x14ac:dyDescent="0.25">
      <c r="A134" s="46"/>
      <c r="B134" s="7"/>
      <c r="C134" s="44"/>
      <c r="D134" s="45"/>
      <c r="E134" s="57"/>
      <c r="F134" s="57"/>
      <c r="G134" s="57"/>
      <c r="H134" s="57"/>
      <c r="I134" s="57"/>
      <c r="J134" s="57"/>
      <c r="K134" s="57"/>
    </row>
    <row r="135" spans="1:11" ht="12.75" customHeight="1" x14ac:dyDescent="0.25">
      <c r="A135" s="46">
        <f>+A133+1</f>
        <v>64</v>
      </c>
      <c r="B135" s="7" t="s">
        <v>125</v>
      </c>
      <c r="C135" s="44" t="s">
        <v>79</v>
      </c>
      <c r="D135" s="45"/>
      <c r="E135" s="57"/>
      <c r="F135" s="57"/>
      <c r="G135" s="57">
        <v>8</v>
      </c>
      <c r="H135" s="57"/>
      <c r="I135" s="28">
        <f>+SUM(D135:H135)</f>
        <v>8</v>
      </c>
      <c r="J135" s="57">
        <v>144</v>
      </c>
      <c r="K135" s="28">
        <f>+J135*I135</f>
        <v>1152</v>
      </c>
    </row>
    <row r="136" spans="1:11" ht="12.75" customHeight="1" x14ac:dyDescent="0.25">
      <c r="A136" s="46"/>
      <c r="B136" s="7"/>
      <c r="C136" s="44"/>
      <c r="D136" s="45"/>
      <c r="E136" s="57"/>
      <c r="F136" s="57"/>
      <c r="G136" s="57"/>
      <c r="H136" s="57"/>
      <c r="I136" s="57"/>
      <c r="J136" s="57"/>
      <c r="K136" s="57"/>
    </row>
    <row r="137" spans="1:11" ht="12.75" customHeight="1" x14ac:dyDescent="0.25">
      <c r="A137" s="46">
        <f>+A135+1</f>
        <v>65</v>
      </c>
      <c r="B137" s="7" t="s">
        <v>126</v>
      </c>
      <c r="C137" s="44" t="s">
        <v>78</v>
      </c>
      <c r="D137" s="45"/>
      <c r="E137" s="57"/>
      <c r="F137" s="57"/>
      <c r="G137" s="57">
        <v>5.5</v>
      </c>
      <c r="H137" s="57"/>
      <c r="I137" s="28">
        <f>+SUM(D137:H137)</f>
        <v>5.5</v>
      </c>
      <c r="J137" s="57">
        <v>54</v>
      </c>
      <c r="K137" s="28">
        <f>+J137*I137</f>
        <v>297</v>
      </c>
    </row>
    <row r="138" spans="1:11" ht="12.75" customHeight="1" x14ac:dyDescent="0.25">
      <c r="A138" s="46"/>
      <c r="B138" s="7"/>
      <c r="C138" s="44"/>
      <c r="D138" s="45"/>
      <c r="E138" s="57"/>
      <c r="F138" s="57"/>
      <c r="G138" s="57"/>
      <c r="H138" s="57"/>
      <c r="I138" s="57"/>
      <c r="J138" s="57"/>
      <c r="K138" s="57"/>
    </row>
    <row r="139" spans="1:11" ht="12.75" customHeight="1" x14ac:dyDescent="0.25">
      <c r="A139" s="46">
        <f>+A137+1</f>
        <v>66</v>
      </c>
      <c r="B139" s="7" t="s">
        <v>127</v>
      </c>
      <c r="C139" s="44" t="s">
        <v>78</v>
      </c>
      <c r="D139" s="45"/>
      <c r="E139" s="57"/>
      <c r="F139" s="57"/>
      <c r="G139" s="57"/>
      <c r="H139" s="57">
        <v>78.48</v>
      </c>
      <c r="I139" s="28">
        <f>+SUM(D139:H139)</f>
        <v>78.48</v>
      </c>
      <c r="J139" s="57">
        <v>72</v>
      </c>
      <c r="K139" s="28">
        <f>+J139*I139</f>
        <v>5650.56</v>
      </c>
    </row>
    <row r="140" spans="1:11" ht="12.75" customHeight="1" x14ac:dyDescent="0.25">
      <c r="A140" s="46"/>
      <c r="B140" s="7"/>
      <c r="C140" s="44"/>
      <c r="D140" s="45"/>
      <c r="E140" s="57"/>
      <c r="F140" s="57"/>
      <c r="G140" s="57"/>
      <c r="H140" s="57"/>
      <c r="I140" s="57"/>
      <c r="J140" s="57"/>
      <c r="K140" s="57"/>
    </row>
    <row r="141" spans="1:11" ht="12.75" customHeight="1" x14ac:dyDescent="0.25">
      <c r="A141" s="46">
        <f>+A139+1</f>
        <v>67</v>
      </c>
      <c r="B141" s="7" t="s">
        <v>129</v>
      </c>
      <c r="C141" s="44" t="s">
        <v>78</v>
      </c>
      <c r="D141" s="45"/>
      <c r="E141" s="57"/>
      <c r="F141" s="57"/>
      <c r="G141" s="57"/>
      <c r="H141" s="57">
        <v>1717.64</v>
      </c>
      <c r="I141" s="28">
        <f>+SUM(D141:H141)</f>
        <v>1717.64</v>
      </c>
      <c r="J141" s="57">
        <v>110</v>
      </c>
      <c r="K141" s="28">
        <f>+J141*I141</f>
        <v>188940.40000000002</v>
      </c>
    </row>
    <row r="142" spans="1:11" ht="12.75" customHeight="1" x14ac:dyDescent="0.25">
      <c r="A142" s="46"/>
      <c r="B142" s="7"/>
      <c r="C142" s="44"/>
      <c r="D142" s="45"/>
      <c r="E142" s="57"/>
      <c r="F142" s="57"/>
      <c r="G142" s="57"/>
      <c r="H142" s="57"/>
      <c r="I142" s="57"/>
      <c r="J142" s="57"/>
      <c r="K142" s="57"/>
    </row>
    <row r="143" spans="1:11" ht="12.75" customHeight="1" x14ac:dyDescent="0.25">
      <c r="A143" s="46">
        <f>+A141+1</f>
        <v>68</v>
      </c>
      <c r="B143" s="7" t="s">
        <v>128</v>
      </c>
      <c r="C143" s="44" t="s">
        <v>78</v>
      </c>
      <c r="D143" s="45"/>
      <c r="E143" s="57"/>
      <c r="F143" s="57"/>
      <c r="G143" s="57"/>
      <c r="H143" s="57">
        <v>720.91</v>
      </c>
      <c r="I143" s="28">
        <f>+SUM(D143:H143)</f>
        <v>720.91</v>
      </c>
      <c r="J143" s="57">
        <v>60</v>
      </c>
      <c r="K143" s="28">
        <f>+J143*I143</f>
        <v>43254.6</v>
      </c>
    </row>
    <row r="144" spans="1:11" ht="12.75" customHeight="1" x14ac:dyDescent="0.25">
      <c r="A144" s="46"/>
      <c r="B144" s="7"/>
      <c r="C144" s="44"/>
      <c r="D144" s="45"/>
      <c r="E144" s="57"/>
      <c r="F144" s="57"/>
      <c r="G144" s="57"/>
      <c r="H144" s="57"/>
      <c r="I144" s="57"/>
      <c r="J144" s="57"/>
      <c r="K144" s="57"/>
    </row>
    <row r="145" spans="1:13" ht="12.75" customHeight="1" x14ac:dyDescent="0.25">
      <c r="A145" s="46">
        <f>+A143+1</f>
        <v>69</v>
      </c>
      <c r="B145" s="7" t="s">
        <v>130</v>
      </c>
      <c r="C145" s="44" t="s">
        <v>78</v>
      </c>
      <c r="D145" s="45"/>
      <c r="E145" s="57"/>
      <c r="F145" s="57"/>
      <c r="G145" s="57"/>
      <c r="H145" s="57">
        <v>84.14</v>
      </c>
      <c r="I145" s="28">
        <f>+SUM(D145:H145)</f>
        <v>84.14</v>
      </c>
      <c r="J145" s="57">
        <v>150</v>
      </c>
      <c r="K145" s="28">
        <f>+J145*I145</f>
        <v>12621</v>
      </c>
    </row>
    <row r="146" spans="1:13" ht="12.75" customHeight="1" x14ac:dyDescent="0.25">
      <c r="A146" s="46"/>
      <c r="B146" s="7"/>
      <c r="C146" s="44"/>
      <c r="D146" s="45"/>
      <c r="E146" s="57"/>
      <c r="F146" s="57"/>
      <c r="G146" s="57"/>
      <c r="H146" s="57"/>
      <c r="I146" s="57"/>
      <c r="J146" s="57"/>
      <c r="K146" s="57"/>
    </row>
    <row r="147" spans="1:13" ht="12.75" customHeight="1" x14ac:dyDescent="0.25">
      <c r="A147" s="46">
        <f>+A145+1</f>
        <v>70</v>
      </c>
      <c r="B147" s="7" t="s">
        <v>131</v>
      </c>
      <c r="C147" s="44" t="s">
        <v>78</v>
      </c>
      <c r="D147" s="45"/>
      <c r="E147" s="57"/>
      <c r="F147" s="57"/>
      <c r="G147" s="57"/>
      <c r="H147" s="57"/>
      <c r="I147" s="28">
        <v>29.28</v>
      </c>
      <c r="J147" s="57">
        <v>21.4</v>
      </c>
      <c r="K147" s="28">
        <f>+J147*I147</f>
        <v>626.59199999999998</v>
      </c>
    </row>
    <row r="148" spans="1:13" ht="12.75" customHeight="1" x14ac:dyDescent="0.25">
      <c r="A148" s="46"/>
      <c r="B148" s="7"/>
      <c r="C148" s="44"/>
      <c r="D148" s="45"/>
      <c r="E148" s="57"/>
      <c r="F148" s="57"/>
      <c r="G148" s="57"/>
      <c r="H148" s="57"/>
      <c r="I148" s="57"/>
      <c r="J148" s="57"/>
      <c r="K148" s="28"/>
    </row>
    <row r="149" spans="1:13" ht="12.75" customHeight="1" x14ac:dyDescent="0.25">
      <c r="A149" s="46"/>
      <c r="B149" s="7"/>
      <c r="C149" s="44"/>
      <c r="D149" s="45"/>
      <c r="E149" s="57"/>
      <c r="F149" s="57"/>
      <c r="G149" s="49"/>
      <c r="H149" s="49"/>
      <c r="I149" s="28"/>
      <c r="J149" s="57"/>
      <c r="K149" s="57"/>
    </row>
    <row r="150" spans="1:13" ht="12.75" customHeight="1" x14ac:dyDescent="0.25">
      <c r="A150" s="46"/>
      <c r="B150" s="7"/>
      <c r="C150" s="44"/>
      <c r="D150" s="45"/>
      <c r="E150" s="49"/>
      <c r="F150" s="49"/>
      <c r="G150" s="49"/>
      <c r="H150" s="49"/>
      <c r="I150" s="57"/>
      <c r="J150" s="49"/>
      <c r="K150" s="49"/>
    </row>
    <row r="151" spans="1:13" ht="12.75" customHeight="1" x14ac:dyDescent="0.25">
      <c r="A151" s="46"/>
      <c r="B151" s="15"/>
      <c r="C151" s="44"/>
      <c r="D151" s="45"/>
      <c r="E151" s="49"/>
      <c r="F151" s="49"/>
      <c r="G151" s="53"/>
      <c r="H151" s="53"/>
      <c r="I151" s="28"/>
      <c r="J151" s="49"/>
      <c r="K151" s="49"/>
    </row>
    <row r="152" spans="1:13" ht="12.75" customHeight="1" x14ac:dyDescent="0.25">
      <c r="A152" s="44"/>
      <c r="B152" s="31"/>
      <c r="C152" s="44"/>
      <c r="D152" s="72" t="s">
        <v>76</v>
      </c>
      <c r="E152" s="72"/>
      <c r="F152" s="53"/>
      <c r="G152" s="20"/>
      <c r="H152" s="20"/>
      <c r="I152" s="57"/>
      <c r="J152" s="53"/>
      <c r="K152" s="53" t="e">
        <f>SUM(K9:K151)</f>
        <v>#REF!</v>
      </c>
      <c r="M152" s="34">
        <v>1934713.51</v>
      </c>
    </row>
    <row r="153" spans="1:13" ht="12.75" customHeight="1" x14ac:dyDescent="0.3">
      <c r="A153" s="44"/>
      <c r="B153" s="31"/>
      <c r="C153" s="44"/>
      <c r="D153" s="20"/>
      <c r="E153" s="20"/>
      <c r="F153" s="20"/>
      <c r="G153" s="58"/>
      <c r="H153" s="58"/>
      <c r="I153" s="28"/>
      <c r="J153" s="20"/>
      <c r="K153" s="59"/>
    </row>
    <row r="154" spans="1:13" ht="12.75" customHeight="1" x14ac:dyDescent="0.25">
      <c r="A154" s="44"/>
      <c r="B154" s="31"/>
      <c r="C154" s="44"/>
      <c r="D154" s="73"/>
      <c r="E154" s="73"/>
      <c r="F154" s="58"/>
      <c r="G154" s="58"/>
      <c r="H154" s="58"/>
      <c r="I154" s="57"/>
      <c r="J154" s="58"/>
      <c r="K154" s="53"/>
    </row>
  </sheetData>
  <mergeCells count="11">
    <mergeCell ref="C4:K4"/>
    <mergeCell ref="A1:B1"/>
    <mergeCell ref="C1:K1"/>
    <mergeCell ref="A2:B2"/>
    <mergeCell ref="C2:K2"/>
    <mergeCell ref="C3:K3"/>
    <mergeCell ref="A5:B5"/>
    <mergeCell ref="C5:K5"/>
    <mergeCell ref="A6:K6"/>
    <mergeCell ref="D152:E152"/>
    <mergeCell ref="D154:E154"/>
  </mergeCells>
  <pageMargins left="0.2" right="0.2" top="0.25" bottom="0.2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Measurment 3rd floor</vt:lpstr>
      <vt:lpstr>Abc </vt:lpstr>
      <vt:lpstr>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2026-06-01T04:19:37Z</dcterms:modified>
</cp:coreProperties>
</file>